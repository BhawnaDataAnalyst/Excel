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1" sheetId="1" r:id="rId5"/>
  </sheets>
  <definedNames/>
  <calcPr/>
</workbook>
</file>

<file path=xl/sharedStrings.xml><?xml version="1.0" encoding="utf-8"?>
<sst xmlns="http://schemas.openxmlformats.org/spreadsheetml/2006/main" count="101" uniqueCount="72">
  <si>
    <t>Question 1 - Write a formula to check if the marks in cell B2 are greater than or equal to 40. If yes, return "Pass", otherwise "Fail"</t>
  </si>
  <si>
    <t>Student Name</t>
  </si>
  <si>
    <t>Marks</t>
  </si>
  <si>
    <t>Result</t>
  </si>
  <si>
    <t xml:space="preserve">Ria </t>
  </si>
  <si>
    <t>Sia</t>
  </si>
  <si>
    <t>Function =IF(B2&gt;=40,"Pass","Fail")</t>
  </si>
  <si>
    <t>Raju</t>
  </si>
  <si>
    <t>Rahul</t>
  </si>
  <si>
    <t>Ram</t>
  </si>
  <si>
    <t>Question 2 - company gives a bonus  if sales are above 40,000 and attendance is greater than or equal to 90%. Write a
formula to calculate whether the employee will get a bonus or not .</t>
  </si>
  <si>
    <t>Employee</t>
  </si>
  <si>
    <t>Sales</t>
  </si>
  <si>
    <t>Attendance</t>
  </si>
  <si>
    <t>Bonus</t>
  </si>
  <si>
    <t>Arjun</t>
  </si>
  <si>
    <t>Simran</t>
  </si>
  <si>
    <t>Function=IF(AND(B13&gt;40000, C13&gt;=90), "Yes", "No")</t>
  </si>
  <si>
    <t>Rohit</t>
  </si>
  <si>
    <t>Anjali</t>
  </si>
  <si>
    <t>Question 3 - Write a nested IF formula: If marks in are B2≥ 90 →"A" , ≥ 75 →"B"  , ≥ 50 →"C"  , otherwise "Fail".</t>
  </si>
  <si>
    <t>Grades</t>
  </si>
  <si>
    <t>Raj</t>
  </si>
  <si>
    <t>Neha</t>
  </si>
  <si>
    <t>Vivek</t>
  </si>
  <si>
    <t>Function =IF(B21&gt;=90, "A", IF(B21&gt;=75, "B", IF(B21&gt;=50, "C", "Fail")))</t>
  </si>
  <si>
    <t>Rani</t>
  </si>
  <si>
    <t>Sneha</t>
  </si>
  <si>
    <t>Question 4 - Find the Department of Employee ID = E103. Also explain which LOOKUP function is used and why?</t>
  </si>
  <si>
    <t>EmpID</t>
  </si>
  <si>
    <t>Name</t>
  </si>
  <si>
    <t>Department</t>
  </si>
  <si>
    <t>E101</t>
  </si>
  <si>
    <t>E102</t>
  </si>
  <si>
    <t>E103</t>
  </si>
  <si>
    <t>E104</t>
  </si>
  <si>
    <t>IT</t>
  </si>
  <si>
    <t>Riya</t>
  </si>
  <si>
    <t>HR</t>
  </si>
  <si>
    <t>Roshni</t>
  </si>
  <si>
    <t>Finance</t>
  </si>
  <si>
    <t>Function =VLOOKUP(H29,$A$29:$C$33,3,False)</t>
  </si>
  <si>
    <t>Sejal</t>
  </si>
  <si>
    <t>Sale</t>
  </si>
  <si>
    <t xml:space="preserve">We will use here VLOOKUP function, as the table is in vertical form. VLOOKUP helps find the specific value from first column and match with the other columns and give the results from same row. As in this table the EmplD is in ascending order so we also can use LOOKUP function. </t>
  </si>
  <si>
    <t>Question 5 - company has set the following commission structure for its sales team:</t>
  </si>
  <si>
    <t>Sales Amount</t>
  </si>
  <si>
    <t>Commission Rate</t>
  </si>
  <si>
    <t>If a salesperson achieves sales of ₹45,000, use the VLOOKUP function to determine the commission rate applicable.</t>
  </si>
  <si>
    <t>Function=VLOOKUP(A45,A39:B43,2,TRUE)</t>
  </si>
  <si>
    <t>Question 6 - The HR department maintains the following leave records of employees:onus or not .</t>
  </si>
  <si>
    <t>Emplyee Name</t>
  </si>
  <si>
    <t>Leaves Taken</t>
  </si>
  <si>
    <t>Leaves Allowed</t>
  </si>
  <si>
    <t>Alex</t>
  </si>
  <si>
    <t>Bob</t>
  </si>
  <si>
    <t>Anna</t>
  </si>
  <si>
    <t>Write an IF function to check whether an employee has Exceeded their allowed leave balance. If Leaves Taken &gt; Allowed Leaves, display "Exceeded". Otherwise, display "OK".</t>
  </si>
  <si>
    <t>Status</t>
  </si>
  <si>
    <t>Function=IF(B59&gt;C59,"Exceeded","OK")</t>
  </si>
  <si>
    <t>Question 7 -  Find the salary of EmpID = E105 using INDEX-MATCH Function.</t>
  </si>
  <si>
    <t>Salary</t>
  </si>
  <si>
    <t>Emp104</t>
  </si>
  <si>
    <t>Emp105</t>
  </si>
  <si>
    <t>Emp106</t>
  </si>
  <si>
    <t>Emp102</t>
  </si>
  <si>
    <t>Function =INDEX(B67:B71,MATCH("Emp105",A67:A71,0))</t>
  </si>
  <si>
    <t>Question 8 -  Use the XLOOKUP function to find the Department of the employee with Emp ID = E303.</t>
  </si>
  <si>
    <t>E303</t>
  </si>
  <si>
    <t>E106</t>
  </si>
  <si>
    <t>E301</t>
  </si>
  <si>
    <t>Function=XLOOKUP("E303",A76:A80,B76:B80)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</si>
</sst>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FF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2" numFmtId="0" xfId="0" applyAlignment="1" applyBorder="1" applyFont="1">
      <alignment readingOrder="0"/>
    </xf>
    <xf borderId="1" fillId="0" fontId="3" numFmtId="0" xfId="0" applyAlignment="1" applyBorder="1" applyFont="1">
      <alignment readingOrder="0"/>
    </xf>
    <xf borderId="1" fillId="0" fontId="3" numFmtId="0" xfId="0" applyBorder="1" applyFont="1"/>
    <xf borderId="0" fillId="0" fontId="3" numFmtId="0" xfId="0" applyAlignment="1" applyFont="1">
      <alignment readingOrder="0"/>
    </xf>
    <xf borderId="0" fillId="0" fontId="2" numFmtId="0" xfId="0" applyFont="1"/>
    <xf borderId="0" fillId="0" fontId="3" numFmtId="0" xfId="0" applyAlignment="1" applyFont="1">
      <alignment readingOrder="0" shrinkToFit="0" wrapText="1"/>
    </xf>
    <xf borderId="1" fillId="0" fontId="3" numFmtId="9" xfId="0" applyAlignment="1" applyBorder="1" applyFont="1" applyNumberFormat="1">
      <alignment readingOrder="0"/>
    </xf>
    <xf borderId="1" fillId="2" fontId="3" numFmtId="0" xfId="0" applyAlignment="1" applyBorder="1" applyFill="1" applyFont="1">
      <alignment readingOrder="0"/>
    </xf>
    <xf borderId="1" fillId="2" fontId="3" numFmtId="9" xfId="0" applyBorder="1" applyFill="1" applyFont="1" applyNumberFormat="1"/>
    <xf borderId="0" fillId="0" fontId="1" numFmtId="0" xfId="0" applyAlignment="1" applyFont="1">
      <alignment readingOrder="0" shrinkToFit="0" wrapText="1"/>
    </xf>
    <xf borderId="0" fillId="0" fontId="3" numFmtId="0" xfId="0" applyAlignment="1" applyFont="1">
      <alignment horizontal="center" readingOrder="0"/>
    </xf>
    <xf borderId="0" fillId="0" fontId="1"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5.13"/>
    <col customWidth="1" min="3" max="3" width="13.5"/>
    <col customWidth="1" min="7" max="7" width="17.75"/>
  </cols>
  <sheetData>
    <row r="1">
      <c r="A1" s="1" t="s">
        <v>0</v>
      </c>
    </row>
    <row r="2">
      <c r="A2" s="2"/>
      <c r="B2" s="2"/>
      <c r="C2" s="2"/>
    </row>
    <row r="3">
      <c r="A3" s="3" t="s">
        <v>1</v>
      </c>
      <c r="B3" s="3" t="s">
        <v>2</v>
      </c>
      <c r="C3" s="3" t="s">
        <v>3</v>
      </c>
    </row>
    <row r="4">
      <c r="A4" s="4" t="s">
        <v>4</v>
      </c>
      <c r="B4" s="4">
        <v>45.0</v>
      </c>
      <c r="C4" s="5" t="str">
        <f t="shared" ref="C4:C8" si="1">IF(B4&gt;=40,"Pass","Fail")</f>
        <v>Pass</v>
      </c>
    </row>
    <row r="5">
      <c r="A5" s="4" t="s">
        <v>5</v>
      </c>
      <c r="B5" s="4">
        <v>72.0</v>
      </c>
      <c r="C5" s="5" t="str">
        <f t="shared" si="1"/>
        <v>Pass</v>
      </c>
      <c r="D5" s="6" t="s">
        <v>6</v>
      </c>
    </row>
    <row r="6">
      <c r="A6" s="4" t="s">
        <v>7</v>
      </c>
      <c r="B6" s="4">
        <v>55.0</v>
      </c>
      <c r="C6" s="5" t="str">
        <f t="shared" si="1"/>
        <v>Pass</v>
      </c>
    </row>
    <row r="7">
      <c r="A7" s="4" t="s">
        <v>8</v>
      </c>
      <c r="B7" s="4">
        <v>80.0</v>
      </c>
      <c r="C7" s="5" t="str">
        <f t="shared" si="1"/>
        <v>Pass</v>
      </c>
    </row>
    <row r="8">
      <c r="A8" s="4" t="s">
        <v>9</v>
      </c>
      <c r="B8" s="4">
        <v>30.0</v>
      </c>
      <c r="C8" s="5" t="str">
        <f t="shared" si="1"/>
        <v>Fail</v>
      </c>
    </row>
    <row r="10">
      <c r="A10" s="1" t="s">
        <v>10</v>
      </c>
    </row>
    <row r="12">
      <c r="A12" s="3" t="s">
        <v>11</v>
      </c>
      <c r="B12" s="3" t="s">
        <v>12</v>
      </c>
      <c r="C12" s="3" t="s">
        <v>13</v>
      </c>
      <c r="D12" s="3" t="s">
        <v>14</v>
      </c>
    </row>
    <row r="13">
      <c r="A13" s="4" t="s">
        <v>15</v>
      </c>
      <c r="B13" s="4">
        <v>55000.0</v>
      </c>
      <c r="C13" s="4">
        <v>95.0</v>
      </c>
      <c r="D13" s="5" t="str">
        <f t="shared" ref="D13:D16" si="2">IF(AND(B13&gt;40000, C13&gt;=90), "Yes", "No")</f>
        <v>Yes</v>
      </c>
    </row>
    <row r="14">
      <c r="A14" s="4" t="s">
        <v>16</v>
      </c>
      <c r="B14" s="4">
        <v>65000.0</v>
      </c>
      <c r="C14" s="4">
        <v>85.0</v>
      </c>
      <c r="D14" s="5" t="str">
        <f t="shared" si="2"/>
        <v>No</v>
      </c>
      <c r="E14" s="6" t="s">
        <v>17</v>
      </c>
    </row>
    <row r="15">
      <c r="A15" s="4" t="s">
        <v>18</v>
      </c>
      <c r="B15" s="4">
        <v>30000.0</v>
      </c>
      <c r="C15" s="4">
        <v>90.0</v>
      </c>
      <c r="D15" s="5" t="str">
        <f t="shared" si="2"/>
        <v>No</v>
      </c>
    </row>
    <row r="16">
      <c r="A16" s="4" t="s">
        <v>19</v>
      </c>
      <c r="B16" s="4">
        <v>25000.0</v>
      </c>
      <c r="C16" s="4">
        <v>65.0</v>
      </c>
      <c r="D16" s="5" t="str">
        <f t="shared" si="2"/>
        <v>No</v>
      </c>
    </row>
    <row r="18">
      <c r="A18" s="1" t="s">
        <v>20</v>
      </c>
    </row>
    <row r="20">
      <c r="A20" s="3" t="s">
        <v>1</v>
      </c>
      <c r="B20" s="3" t="s">
        <v>2</v>
      </c>
      <c r="C20" s="3" t="s">
        <v>21</v>
      </c>
    </row>
    <row r="21">
      <c r="A21" s="4" t="s">
        <v>22</v>
      </c>
      <c r="B21" s="4">
        <v>85.0</v>
      </c>
      <c r="C21" s="5" t="str">
        <f t="shared" ref="C21:C25" si="3">IF(B21&gt;=90, "A", IF(B21&gt;=75, "B", IF(B21&gt;=50, "C", "Fail")))</f>
        <v>B</v>
      </c>
    </row>
    <row r="22">
      <c r="A22" s="4" t="s">
        <v>23</v>
      </c>
      <c r="B22" s="4">
        <v>96.0</v>
      </c>
      <c r="C22" s="5" t="str">
        <f t="shared" si="3"/>
        <v>A</v>
      </c>
    </row>
    <row r="23">
      <c r="A23" s="4" t="s">
        <v>24</v>
      </c>
      <c r="B23" s="4">
        <v>57.0</v>
      </c>
      <c r="C23" s="5" t="str">
        <f t="shared" si="3"/>
        <v>C</v>
      </c>
      <c r="D23" s="6" t="s">
        <v>25</v>
      </c>
    </row>
    <row r="24">
      <c r="A24" s="4" t="s">
        <v>26</v>
      </c>
      <c r="B24" s="4">
        <v>92.0</v>
      </c>
      <c r="C24" s="5" t="str">
        <f t="shared" si="3"/>
        <v>A</v>
      </c>
    </row>
    <row r="25">
      <c r="A25" s="4" t="s">
        <v>27</v>
      </c>
      <c r="B25" s="4">
        <v>75.0</v>
      </c>
      <c r="C25" s="5" t="str">
        <f t="shared" si="3"/>
        <v>B</v>
      </c>
    </row>
    <row r="27">
      <c r="A27" s="1" t="s">
        <v>28</v>
      </c>
    </row>
    <row r="28">
      <c r="E28" s="7"/>
    </row>
    <row r="29">
      <c r="A29" s="3" t="s">
        <v>29</v>
      </c>
      <c r="B29" s="3" t="s">
        <v>30</v>
      </c>
      <c r="C29" s="3" t="s">
        <v>31</v>
      </c>
      <c r="E29" s="3" t="s">
        <v>29</v>
      </c>
      <c r="F29" s="3" t="s">
        <v>32</v>
      </c>
      <c r="G29" s="3" t="s">
        <v>33</v>
      </c>
      <c r="H29" s="3" t="s">
        <v>34</v>
      </c>
      <c r="I29" s="3" t="s">
        <v>35</v>
      </c>
    </row>
    <row r="30">
      <c r="A30" s="4" t="s">
        <v>32</v>
      </c>
      <c r="B30" s="4" t="s">
        <v>7</v>
      </c>
      <c r="C30" s="4" t="s">
        <v>36</v>
      </c>
      <c r="E30" s="3" t="s">
        <v>31</v>
      </c>
      <c r="F30" s="5" t="str">
        <f t="shared" ref="F30:I30" si="4">VLOOKUP(F29,$A$29:$C$33,3,False)</f>
        <v>IT</v>
      </c>
      <c r="G30" s="5" t="str">
        <f t="shared" si="4"/>
        <v>HR</v>
      </c>
      <c r="H30" s="5" t="str">
        <f t="shared" si="4"/>
        <v>Finance</v>
      </c>
      <c r="I30" s="5" t="str">
        <f t="shared" si="4"/>
        <v>Sale</v>
      </c>
    </row>
    <row r="31">
      <c r="A31" s="4" t="s">
        <v>33</v>
      </c>
      <c r="B31" s="4" t="s">
        <v>37</v>
      </c>
      <c r="C31" s="4" t="s">
        <v>38</v>
      </c>
    </row>
    <row r="32">
      <c r="A32" s="4" t="s">
        <v>34</v>
      </c>
      <c r="B32" s="4" t="s">
        <v>39</v>
      </c>
      <c r="C32" s="4" t="s">
        <v>40</v>
      </c>
      <c r="F32" s="6" t="s">
        <v>41</v>
      </c>
    </row>
    <row r="33">
      <c r="A33" s="4" t="s">
        <v>35</v>
      </c>
      <c r="B33" s="4" t="s">
        <v>42</v>
      </c>
      <c r="C33" s="4" t="s">
        <v>43</v>
      </c>
    </row>
    <row r="35">
      <c r="A35" s="8" t="s">
        <v>44</v>
      </c>
    </row>
    <row r="37">
      <c r="A37" s="1" t="s">
        <v>45</v>
      </c>
    </row>
    <row r="39">
      <c r="A39" s="3" t="s">
        <v>46</v>
      </c>
      <c r="B39" s="3" t="s">
        <v>47</v>
      </c>
    </row>
    <row r="40">
      <c r="A40" s="4">
        <v>0.0</v>
      </c>
      <c r="B40" s="9">
        <v>0.05</v>
      </c>
    </row>
    <row r="41">
      <c r="A41" s="4">
        <v>20000.0</v>
      </c>
      <c r="B41" s="9">
        <v>0.1</v>
      </c>
    </row>
    <row r="42">
      <c r="A42" s="4">
        <v>50000.0</v>
      </c>
      <c r="B42" s="9">
        <v>0.15</v>
      </c>
    </row>
    <row r="43">
      <c r="A43" s="4">
        <v>80000.0</v>
      </c>
      <c r="B43" s="9">
        <v>0.2</v>
      </c>
    </row>
    <row r="45">
      <c r="A45" s="1" t="s">
        <v>48</v>
      </c>
    </row>
    <row r="47">
      <c r="A47" s="10">
        <v>45000.0</v>
      </c>
      <c r="B47" s="11">
        <f>VLOOKUP(A47,$A$39:$B$43,2,TRUE)</f>
        <v>0.1</v>
      </c>
      <c r="D47" s="6" t="s">
        <v>49</v>
      </c>
    </row>
    <row r="49">
      <c r="A49" s="1" t="s">
        <v>50</v>
      </c>
    </row>
    <row r="51">
      <c r="A51" s="3" t="s">
        <v>51</v>
      </c>
      <c r="B51" s="3" t="s">
        <v>52</v>
      </c>
      <c r="C51" s="3" t="s">
        <v>53</v>
      </c>
    </row>
    <row r="52">
      <c r="A52" s="4" t="s">
        <v>54</v>
      </c>
      <c r="B52" s="4">
        <v>10.0</v>
      </c>
      <c r="C52" s="4">
        <v>12.0</v>
      </c>
    </row>
    <row r="53">
      <c r="A53" s="4" t="s">
        <v>55</v>
      </c>
      <c r="B53" s="4">
        <v>10.0</v>
      </c>
      <c r="C53" s="4">
        <v>15.0</v>
      </c>
    </row>
    <row r="54">
      <c r="A54" s="4" t="s">
        <v>56</v>
      </c>
      <c r="B54" s="4">
        <v>8.0</v>
      </c>
      <c r="C54" s="4">
        <v>12.0</v>
      </c>
    </row>
    <row r="56">
      <c r="A56" s="12" t="s">
        <v>57</v>
      </c>
    </row>
    <row r="58">
      <c r="A58" s="3" t="s">
        <v>51</v>
      </c>
      <c r="B58" s="3" t="s">
        <v>52</v>
      </c>
      <c r="C58" s="3" t="s">
        <v>53</v>
      </c>
      <c r="D58" s="3" t="s">
        <v>58</v>
      </c>
    </row>
    <row r="59">
      <c r="A59" s="4" t="s">
        <v>54</v>
      </c>
      <c r="B59" s="4">
        <v>10.0</v>
      </c>
      <c r="C59" s="4">
        <v>12.0</v>
      </c>
      <c r="D59" s="5" t="str">
        <f t="shared" ref="D59:D61" si="5">IF(B59&gt;C59,"Exceeded","OK")</f>
        <v>OK</v>
      </c>
    </row>
    <row r="60">
      <c r="A60" s="4" t="s">
        <v>55</v>
      </c>
      <c r="B60" s="4">
        <v>10.0</v>
      </c>
      <c r="C60" s="4">
        <v>15.0</v>
      </c>
      <c r="D60" s="5" t="str">
        <f t="shared" si="5"/>
        <v>OK</v>
      </c>
    </row>
    <row r="61">
      <c r="A61" s="4" t="s">
        <v>56</v>
      </c>
      <c r="B61" s="4">
        <v>8.0</v>
      </c>
      <c r="C61" s="4">
        <v>12.0</v>
      </c>
      <c r="D61" s="5" t="str">
        <f t="shared" si="5"/>
        <v>OK</v>
      </c>
    </row>
    <row r="63">
      <c r="A63" s="13" t="s">
        <v>59</v>
      </c>
    </row>
    <row r="65">
      <c r="A65" s="1" t="s">
        <v>60</v>
      </c>
    </row>
    <row r="67">
      <c r="A67" s="3" t="s">
        <v>29</v>
      </c>
      <c r="B67" s="3" t="s">
        <v>61</v>
      </c>
    </row>
    <row r="68">
      <c r="A68" s="4" t="s">
        <v>62</v>
      </c>
      <c r="B68" s="4">
        <v>55000.0</v>
      </c>
      <c r="D68" s="3" t="s">
        <v>29</v>
      </c>
      <c r="E68" s="3" t="s">
        <v>61</v>
      </c>
    </row>
    <row r="69">
      <c r="A69" s="4" t="s">
        <v>63</v>
      </c>
      <c r="B69" s="4">
        <v>72000.0</v>
      </c>
      <c r="D69" s="4" t="s">
        <v>63</v>
      </c>
      <c r="E69" s="5">
        <f t="array" ref="E69">INDEX(B67:B71,MATCH("Emp105",A67:A71,0))</f>
        <v>72000</v>
      </c>
    </row>
    <row r="70">
      <c r="A70" s="4" t="s">
        <v>64</v>
      </c>
      <c r="B70" s="4">
        <v>62000.0</v>
      </c>
    </row>
    <row r="71">
      <c r="A71" s="4" t="s">
        <v>65</v>
      </c>
      <c r="B71" s="4">
        <v>41000.0</v>
      </c>
      <c r="D71" s="6" t="s">
        <v>66</v>
      </c>
    </row>
    <row r="74" ht="25.5" customHeight="1">
      <c r="A74" s="14" t="s">
        <v>67</v>
      </c>
    </row>
    <row r="76">
      <c r="A76" s="3" t="s">
        <v>29</v>
      </c>
      <c r="B76" s="3" t="s">
        <v>31</v>
      </c>
    </row>
    <row r="77">
      <c r="A77" s="4" t="s">
        <v>32</v>
      </c>
      <c r="B77" s="4" t="s">
        <v>38</v>
      </c>
      <c r="D77" s="3" t="s">
        <v>29</v>
      </c>
      <c r="E77" s="3" t="s">
        <v>31</v>
      </c>
    </row>
    <row r="78">
      <c r="A78" s="4" t="s">
        <v>68</v>
      </c>
      <c r="B78" s="4" t="s">
        <v>36</v>
      </c>
      <c r="D78" s="4" t="s">
        <v>68</v>
      </c>
      <c r="E78" s="5" t="str">
        <f t="array" ref="E78">_xlfn.XLOOKUP("E303",A76:A80,B76:B80)</f>
        <v>IT</v>
      </c>
    </row>
    <row r="79">
      <c r="A79" s="4" t="s">
        <v>69</v>
      </c>
      <c r="B79" s="4" t="s">
        <v>12</v>
      </c>
    </row>
    <row r="80">
      <c r="A80" s="4" t="s">
        <v>70</v>
      </c>
      <c r="B80" s="4" t="s">
        <v>40</v>
      </c>
      <c r="D80" s="6" t="s">
        <v>71</v>
      </c>
    </row>
  </sheetData>
  <mergeCells count="19">
    <mergeCell ref="A1:I1"/>
    <mergeCell ref="D5:F5"/>
    <mergeCell ref="A10:G10"/>
    <mergeCell ref="E14:G14"/>
    <mergeCell ref="A18:G18"/>
    <mergeCell ref="D23:G23"/>
    <mergeCell ref="A27:G27"/>
    <mergeCell ref="A63:D63"/>
    <mergeCell ref="A65:F65"/>
    <mergeCell ref="D71:G71"/>
    <mergeCell ref="A74:G74"/>
    <mergeCell ref="D80:F80"/>
    <mergeCell ref="F32:H32"/>
    <mergeCell ref="A35:J35"/>
    <mergeCell ref="A37:F37"/>
    <mergeCell ref="A45:G45"/>
    <mergeCell ref="D47:F47"/>
    <mergeCell ref="A49:G49"/>
    <mergeCell ref="A56:J56"/>
  </mergeCells>
  <drawing r:id="rId1"/>
</worksheet>
</file>