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Conditional Formatting" sheetId="2" r:id="rId5"/>
    <sheet state="visible" name="Sorting &amp; Filtering" sheetId="3" r:id="rId6"/>
    <sheet state="visible" name="Sales Trend" sheetId="4" r:id="rId7"/>
    <sheet state="visible" name="Slicer" sheetId="5" r:id="rId8"/>
    <sheet state="visible" name="Pivot Table" sheetId="6" r:id="rId9"/>
    <sheet state="visible" name="Dashboard" sheetId="7" r:id="rId10"/>
    <sheet state="visible" name="Average Sales" sheetId="8" r:id="rId11"/>
    <sheet state="visible" name="Comparison" sheetId="9" r:id="rId12"/>
  </sheets>
  <definedNames>
    <definedName name="Slicer_Product">#REF!</definedName>
    <definedName name="Slicer_Product1">#REF!</definedName>
    <definedName hidden="1" localSheetId="2" name="_xlnm._FilterDatabase">'Sorting &amp; Filtering'!$A$32:$E$52</definedName>
    <definedName hidden="1" localSheetId="8" name="Z_6850AC0C_F435_47B6_AAF6_2ACCF1F1FF59_.wvu.FilterData">Comparison!$B$4:$G$24</definedName>
    <definedName hidden="1" localSheetId="0" name="Z_998BFAB9_4DD2_4A21_BDD2_147BBD403533_.wvu.FilterData">Data!$A$2:$E$22</definedName>
    <definedName hidden="1" localSheetId="4" name="Z_5E6DD19B_C93C_4C81_8BCA_2D700E532059_.wvu.FilterData">Slicer!$A$4:$B$7</definedName>
    <definedName hidden="1" localSheetId="5" name="Z_5E6DD19B_C93C_4C81_8BCA_2D700E532059_.wvu.FilterData">'Pivot Table'!$D$10:$E$13</definedName>
    <definedName hidden="1" localSheetId="5" name="Z_5E6DD19B_C93C_4C81_8BCA_2D700E532059_.wvu.FilterData">'Pivot Table'!$D$10:$E$13</definedName>
    <definedName name="SlicerCache_Table_2_Col_1">#N/A</definedName>
    <definedName name="SlicerCache_Table_3_Col_1">#N/A</definedName>
  </definedNames>
  <calcPr/>
  <customWorkbookViews>
    <customWorkbookView activeSheetId="0" maximized="1" windowHeight="0" windowWidth="0" guid="{5E6DD19B-C93C-4C81-8BCA-2D700E532059}" name="Filter 1"/>
    <customWorkbookView activeSheetId="0" maximized="1" windowHeight="0" windowWidth="0" guid="{998BFAB9-4DD2-4A21-BDD2-147BBD403533}" name="Table1 filter view"/>
    <customWorkbookView activeSheetId="0" maximized="1" windowHeight="0" windowWidth="0" guid="{6850AC0C-F435-47B6-AAF6-2ACCF1F1FF59}" name="Table13 filter view"/>
  </customWorkbookViews>
  <pivotCaches>
    <pivotCache cacheId="0" r:id="rId13"/>
    <pivotCache cacheId="1" r:id="rId14"/>
  </pivotCaches>
  <extLst>
    <ext uri="GoogleSheetsCustomDataVersion2">
      <go:sheetsCustomData xmlns:go="http://customooxmlschemas.google.com/" r:id="rId17" roundtripDataChecksum="SBtP2wI1gb7a27feyMw1Oqh8oc1zBUf2LCrBgmjUICI="/>
    </ext>
    <ext uri="{46BE6895-7355-4a93-B00E-2C351335B9C9}">
      <x15:slicerCaches>
        <x14:slicerCache r:id="rId15"/>
        <x14:slicerCache r:id="rId16"/>
      </x15:slicerCaches>
    </ext>
  </extLst>
</workbook>
</file>

<file path=xl/sharedStrings.xml><?xml version="1.0" encoding="utf-8"?>
<sst xmlns="http://schemas.openxmlformats.org/spreadsheetml/2006/main" count="280" uniqueCount="47">
  <si>
    <t>Date</t>
  </si>
  <si>
    <t>Region</t>
  </si>
  <si>
    <t>Product</t>
  </si>
  <si>
    <t>Sales</t>
  </si>
  <si>
    <t>Quantity</t>
  </si>
  <si>
    <t>West</t>
  </si>
  <si>
    <t>Mangoes</t>
  </si>
  <si>
    <t>South</t>
  </si>
  <si>
    <t>Oranges</t>
  </si>
  <si>
    <t>Question 1 - What is the purpose of a PivotTable in Excel?</t>
  </si>
  <si>
    <t>Apples</t>
  </si>
  <si>
    <t>Answer - PivotTable in excel is used to summerize, analyze and compare data. It can convert huge data in short summaries and also helps to analyze the data based on different factors. It saves time and reduce errors. It can convert raw data in useful insights that we can use for taking essential business decisions.</t>
  </si>
  <si>
    <t>East</t>
  </si>
  <si>
    <t>North</t>
  </si>
  <si>
    <t>Question 2 - Create a PivotTable to show Total Sales by Region.</t>
  </si>
  <si>
    <t>SUM of Sales</t>
  </si>
  <si>
    <t>Grand Total</t>
  </si>
  <si>
    <t>Question 3 - Apply Conditional Formatting to highlight sales greater than 400.</t>
  </si>
  <si>
    <t>Question 4 - Explain the difference between Sorting and Filtering with an example from this dataset.</t>
  </si>
  <si>
    <r>
      <rPr>
        <rFont val="Arial"/>
        <color rgb="FFFF0000"/>
        <sz val="10.0"/>
      </rPr>
      <t>Answer - Sorting and filtering both organize data in excel but in different manner. Sorting arrange rows in an specific order either ascending or descending based on selected colum. Filtering is used to display some rows based on some criteria and hide the rest of the data.</t>
    </r>
    <r>
      <rPr>
        <rFont val="Arial"/>
        <color rgb="FFFF0000"/>
        <sz val="10.0"/>
      </rPr>
      <t xml:space="preserve">   </t>
    </r>
  </si>
  <si>
    <t>Sorting</t>
  </si>
  <si>
    <t xml:space="preserve">Data sorted based on Sales lowest to highest </t>
  </si>
  <si>
    <t>Filtering</t>
  </si>
  <si>
    <t>Data is filtered by Region and it is only showing values for West region</t>
  </si>
  <si>
    <t>Question 5 - Create a PivotChart showing Monthly Sales Trend.</t>
  </si>
  <si>
    <t>Date - Month</t>
  </si>
  <si>
    <t>Sum of Sales</t>
  </si>
  <si>
    <t>Jan</t>
  </si>
  <si>
    <t>Feb</t>
  </si>
  <si>
    <t>Mar</t>
  </si>
  <si>
    <t>Apr</t>
  </si>
  <si>
    <t>May</t>
  </si>
  <si>
    <t>Jun</t>
  </si>
  <si>
    <t>Question 6 - Use a Slicer to filter data by Product and observe changes in sales.</t>
  </si>
  <si>
    <t>Question 7 - Why are Dashboards important for decision-making in business analysis?</t>
  </si>
  <si>
    <t xml:space="preserve">Answer - Dashboards turns complex business data in easy to understand, clear and concise form. It helps us visualize the big data at a single frame and make it easy to undesstand sales, growth, and helps to take business decisions. There are charts slicers and other image form that shows data in very easy form. That helps in faster and beetr decision making. </t>
  </si>
  <si>
    <t>Question 8 - Create a Dashboard that includes:  1. Sales by Region (PivotTable + Chart)   2. Product Filter (Slicer) 3. Monthly Trend (Line Chart</t>
  </si>
  <si>
    <t>Row Labels</t>
  </si>
  <si>
    <t>Question 9 - Group dates in the PivotTable into Months and calculate the average sales per month.</t>
  </si>
  <si>
    <t>Average of Sales</t>
  </si>
  <si>
    <t>Question 10 - Combine Apples and Oranges into one group called Fruits and compare its sales with other products.</t>
  </si>
  <si>
    <t>Category</t>
  </si>
  <si>
    <t>Months (Date)</t>
  </si>
  <si>
    <t>Sum of Quantity</t>
  </si>
  <si>
    <t>Fruits</t>
  </si>
  <si>
    <t>Fruits Total</t>
  </si>
  <si>
    <t>Mangoes 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</si>
</sst>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m/d/yyyy h:mm:ss"/>
  </numFmts>
  <fonts count="9">
    <font>
      <sz val="10.0"/>
      <color rgb="FF000000"/>
      <name val="Arial"/>
      <scheme val="minor"/>
    </font>
    <font>
      <b/>
      <sz val="11.0"/>
      <color rgb="FFFFFFFF"/>
      <name val="Calibri"/>
    </font>
    <font>
      <sz val="11.0"/>
      <color theme="1"/>
      <name val="Calibri"/>
    </font>
    <font>
      <sz val="10.0"/>
      <color rgb="FFFF0000"/>
      <name val="Arial"/>
    </font>
    <font>
      <sz val="10.0"/>
      <color rgb="FF000000"/>
      <name val="Arial"/>
    </font>
    <font>
      <color theme="1"/>
      <name val="Arial"/>
      <scheme val="minor"/>
    </font>
    <font>
      <sz val="13.0"/>
      <color rgb="FFFF0000"/>
      <name val="Arial"/>
    </font>
    <font>
      <b/>
      <sz val="11.0"/>
      <color theme="1"/>
      <name val="Calibri"/>
    </font>
    <font>
      <sz val="10.0"/>
      <color theme="1"/>
      <name val="Arial"/>
    </font>
  </fonts>
  <fills count="3">
    <fill>
      <patternFill patternType="none"/>
    </fill>
    <fill>
      <patternFill patternType="lightGray"/>
    </fill>
    <fill>
      <patternFill patternType="solid">
        <fgColor rgb="FFEFEFEF"/>
        <bgColor rgb="FFEFEFEF"/>
      </patternFill>
    </fill>
  </fills>
  <borders count="3">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164" xfId="0" applyAlignment="1" applyFont="1" applyNumberFormat="1">
      <alignment horizontal="right" shrinkToFit="0" vertical="center" wrapText="0"/>
    </xf>
    <xf borderId="0" fillId="0" fontId="2" numFmtId="0" xfId="0" applyAlignment="1" applyFont="1">
      <alignment shrinkToFit="0" vertical="center" wrapText="0"/>
    </xf>
    <xf borderId="0" fillId="0" fontId="2" numFmtId="0" xfId="0" applyAlignment="1" applyFont="1">
      <alignment horizontal="right" shrinkToFit="0" vertical="center" wrapText="0"/>
    </xf>
    <xf borderId="0" fillId="0" fontId="3" numFmtId="0" xfId="0" applyAlignment="1" applyFont="1">
      <alignment horizontal="left"/>
    </xf>
    <xf borderId="0" fillId="0" fontId="4" numFmtId="0" xfId="0" applyAlignment="1" applyFont="1">
      <alignment shrinkToFit="0" wrapText="1"/>
    </xf>
    <xf borderId="0" fillId="0" fontId="3" numFmtId="0" xfId="0" applyFont="1"/>
    <xf borderId="0" fillId="0" fontId="4" numFmtId="0" xfId="0" applyFont="1"/>
    <xf borderId="0" fillId="0" fontId="5" numFmtId="0" xfId="0" applyFont="1"/>
    <xf borderId="0" fillId="0" fontId="3" numFmtId="0" xfId="0" applyAlignment="1" applyFont="1">
      <alignment shrinkToFit="0" wrapText="1"/>
    </xf>
    <xf borderId="0" fillId="0" fontId="6" numFmtId="0" xfId="0" applyFont="1"/>
    <xf borderId="2" fillId="0" fontId="7" numFmtId="0" xfId="0" applyAlignment="1" applyBorder="1" applyFont="1">
      <alignment horizontal="center" vertical="top"/>
    </xf>
    <xf borderId="2" fillId="0" fontId="2" numFmtId="164" xfId="0" applyAlignment="1" applyBorder="1" applyFont="1" applyNumberFormat="1">
      <alignment horizontal="right"/>
    </xf>
    <xf borderId="2" fillId="0" fontId="2" numFmtId="0" xfId="0" applyBorder="1" applyFont="1"/>
    <xf borderId="2" fillId="0" fontId="2" numFmtId="0" xfId="0" applyAlignment="1" applyBorder="1" applyFont="1">
      <alignment horizontal="right"/>
    </xf>
    <xf borderId="0" fillId="0" fontId="8" numFmtId="0" xfId="0" applyFont="1"/>
    <xf borderId="0" fillId="0" fontId="5" numFmtId="165" xfId="0" applyFont="1" applyNumberFormat="1"/>
    <xf borderId="2" fillId="0" fontId="4" numFmtId="0" xfId="0" applyBorder="1" applyFont="1"/>
    <xf borderId="2" fillId="2" fontId="4" numFmtId="0" xfId="0" applyBorder="1" applyFill="1" applyFont="1"/>
    <xf borderId="0" fillId="0" fontId="4" numFmtId="0" xfId="0" applyAlignment="1" applyFont="1">
      <alignment horizontal="left"/>
    </xf>
    <xf borderId="0" fillId="0" fontId="5" numFmtId="0" xfId="0" applyAlignment="1" applyFont="1">
      <alignment shrinkToFit="0" vertical="center" wrapText="0"/>
    </xf>
  </cellXfs>
  <cellStyles count="1">
    <cellStyle xfId="0" name="Normal" builtinId="0"/>
  </cellStyles>
  <dxfs count="6">
    <dxf>
      <font/>
      <fill>
        <patternFill patternType="none"/>
      </fill>
      <border/>
    </dxf>
    <dxf>
      <font/>
      <fill>
        <patternFill patternType="solid">
          <fgColor theme="4"/>
          <bgColor theme="4"/>
        </patternFill>
      </fill>
      <border/>
    </dxf>
    <dxf>
      <font/>
      <fill>
        <patternFill patternType="solid">
          <fgColor rgb="FFD9E6FC"/>
          <bgColor rgb="FFD9E6FC"/>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color rgb="FF006100"/>
      </font>
      <fill>
        <patternFill patternType="solid">
          <fgColor rgb="FFC6EFCE"/>
          <bgColor rgb="FFC6EFCE"/>
        </patternFill>
      </fill>
      <border/>
    </dxf>
  </dxfs>
  <tableStyles count="2">
    <tableStyle count="4" pivot="0" name="Data-style">
      <tableStyleElement dxfId="1" type="headerRow"/>
      <tableStyleElement dxfId="2" type="firstRowStripe"/>
      <tableStyleElement dxfId="3" type="secondRowStripe"/>
      <tableStyleElement dxfId="4" size="0" type="wholeTable"/>
    </tableStyle>
    <tableStyle count="4" pivot="0" name="Comparis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microsoft.com/office/2007/relationships/slicerCache" Target="slicerCaches/slicerCache1.xml"/><Relationship Id="rId14" Type="http://schemas.openxmlformats.org/officeDocument/2006/relationships/pivotCacheDefinition" Target="pivotCache/pivotCacheDefinition2.xml"/><Relationship Id="rId17" Type="http://customschemas.google.com/relationships/workbookmetadata" Target="metadata"/><Relationship Id="rId16" Type="http://schemas.microsoft.com/office/2007/relationships/slicerCache" Target="slicerCaches/slicerCache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black"/>
              </a:defRPr>
            </a:pPr>
            <a:r>
              <a:rPr b="0" i="0">
                <a:solidFill>
                  <a:schemeClr val="dk1"/>
                </a:solidFill>
                <a:latin typeface="Arial black"/>
              </a:rPr>
              <a:t>Monthly Sales</a:t>
            </a:r>
          </a:p>
        </c:rich>
      </c:tx>
      <c:overlay val="0"/>
    </c:title>
    <c:plotArea>
      <c:layout>
        <c:manualLayout>
          <c:xMode val="edge"/>
          <c:yMode val="edge"/>
          <c:x val="0.06741907667932212"/>
          <c:y val="0.1441577275666629"/>
          <c:w val="0.9246613868093696"/>
          <c:h val="0.7130983966678078"/>
        </c:manualLayout>
      </c:layout>
      <c:lineChart>
        <c:varyColors val="0"/>
        <c:ser>
          <c:idx val="0"/>
          <c:order val="0"/>
          <c:tx>
            <c:v>Sum of Sales</c:v>
          </c:tx>
          <c:spPr>
            <a:ln cmpd="sng">
              <a:solidFill>
                <a:srgbClr val="FF0000"/>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'Sales Trend'!$A$5:$A$10</c:f>
            </c:strRef>
          </c:cat>
          <c:val>
            <c:numRef>
              <c:f>'Sales Trend'!$B$5:$B$10</c:f>
              <c:numCache/>
            </c:numRef>
          </c:val>
          <c:smooth val="0"/>
        </c:ser>
        <c:axId val="1203719575"/>
        <c:axId val="1805029047"/>
      </c:lineChart>
      <c:catAx>
        <c:axId val="1203719575"/>
        <c:scaling>
          <c:orientation val="minMax"/>
        </c:scaling>
        <c:delete val="0"/>
        <c:axPos val="b"/>
        <c:title>
          <c:tx>
            <c:rich>
              <a:bodyPr/>
              <a:lstStyle/>
              <a:p>
                <a:pPr lvl="0">
                  <a:defRPr b="0" i="0" sz="1600">
                    <a:solidFill>
                      <a:schemeClr val="dk1"/>
                    </a:solidFill>
                    <a:latin typeface="Arial black"/>
                  </a:defRPr>
                </a:pPr>
                <a:r>
                  <a:rPr b="0" i="0" sz="1600">
                    <a:solidFill>
                      <a:schemeClr val="dk1"/>
                    </a:solidFill>
                    <a:latin typeface="Arial black"/>
                  </a:rPr>
                  <a:t>Month</a:t>
                </a:r>
              </a:p>
            </c:rich>
          </c:tx>
          <c:overlay val="0"/>
        </c:title>
        <c:numFmt formatCode="m/d/yyyy" sourceLinked="0"/>
        <c:majorTickMark val="none"/>
        <c:minorTickMark val="none"/>
        <c:spPr/>
        <c:txPr>
          <a:bodyPr/>
          <a:lstStyle/>
          <a:p>
            <a:pPr lvl="0">
              <a:defRPr b="0" i="0">
                <a:solidFill>
                  <a:schemeClr val="dk1"/>
                </a:solidFill>
                <a:latin typeface="Arial"/>
              </a:defRPr>
            </a:pPr>
          </a:p>
        </c:txPr>
        <c:crossAx val="1805029047"/>
      </c:catAx>
      <c:valAx>
        <c:axId val="1805029047"/>
        <c:scaling>
          <c:orientation val="minMax"/>
        </c:scaling>
        <c:delete val="0"/>
        <c:axPos val="l"/>
        <c:minorGridlines>
          <c:spPr>
            <a:ln>
              <a:solidFill>
                <a:srgbClr val="CCCCCC">
                  <a:alpha val="0"/>
                </a:srgbClr>
              </a:solidFill>
            </a:ln>
          </c:spPr>
        </c:minorGridlines>
        <c:title>
          <c:tx>
            <c:rich>
              <a:bodyPr/>
              <a:lstStyle/>
              <a:p>
                <a:pPr lvl="0">
                  <a:defRPr b="0" i="0" sz="1600">
                    <a:solidFill>
                      <a:srgbClr val="000000"/>
                    </a:solidFill>
                    <a:latin typeface="Arial black"/>
                  </a:defRPr>
                </a:pPr>
                <a:r>
                  <a:rPr b="0" i="0" sz="1600">
                    <a:solidFill>
                      <a:srgbClr val="000000"/>
                    </a:solidFill>
                    <a:latin typeface="Arial black"/>
                  </a:rPr>
                  <a:t>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3719575"/>
      </c:valAx>
    </c:plotArea>
    <c:plotVisOnly val="1"/>
  </c:chart>
  <c:spPr>
    <a:solidFill>
      <a:srgbClr val="D9D9D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chemeClr val="lt1"/>
                </a:solidFill>
                <a:latin typeface="+mn-lt"/>
              </a:defRPr>
            </a:pPr>
            <a:r>
              <a:rPr b="1" i="0" sz="1600">
                <a:solidFill>
                  <a:schemeClr val="lt1"/>
                </a:solidFill>
                <a:latin typeface="+mn-lt"/>
              </a:rPr>
              <a:t>Total Sales By Region</a:t>
            </a:r>
          </a:p>
        </c:rich>
      </c:tx>
      <c:overlay val="0"/>
    </c:title>
    <c:plotArea>
      <c:layout>
        <c:manualLayout>
          <c:xMode val="edge"/>
          <c:yMode val="edge"/>
          <c:x val="0.07366617719040626"/>
          <c:y val="0.0949943117178612"/>
          <c:w val="0.8994126284875184"/>
          <c:h val="0.7711035267349261"/>
        </c:manualLayout>
      </c:layout>
      <c:barChart>
        <c:barDir val="col"/>
        <c:grouping val="stacked"/>
        <c:ser>
          <c:idx val="0"/>
          <c:order val="0"/>
          <c:tx>
            <c:v>Total</c:v>
          </c:tx>
          <c:spPr>
            <a:solidFill>
              <a:schemeClr val="accent1"/>
            </a:solidFill>
            <a:ln cmpd="sng">
              <a:solidFill>
                <a:srgbClr val="000000"/>
              </a:solidFill>
            </a:ln>
          </c:spPr>
          <c:dPt>
            <c:idx val="0"/>
          </c:dPt>
          <c:dLbls>
            <c:dLbl>
              <c:idx val="0"/>
              <c:numFmt formatCode="General" sourceLinked="1"/>
              <c:txPr>
                <a:bodyPr/>
                <a:lstStyle/>
                <a:p>
                  <a:pPr lvl="0">
                    <a:defRPr b="1" i="0" sz="900">
                      <a:latin typeface="+mn-lt"/>
                    </a:defRPr>
                  </a:pPr>
                </a:p>
              </c:txPr>
              <c:showLegendKey val="0"/>
              <c:showVal val="1"/>
              <c:showCatName val="0"/>
              <c:showSerName val="0"/>
              <c:showPercent val="0"/>
              <c:showBubbleSize val="0"/>
            </c:dLbl>
            <c:numFmt formatCode="General" sourceLinked="1"/>
            <c:txPr>
              <a:bodyPr/>
              <a:lstStyle/>
              <a:p>
                <a:pPr lvl="0">
                  <a:defRPr b="1" i="0" sz="900">
                    <a:latin typeface="+mn-lt"/>
                  </a:defRPr>
                </a:pPr>
              </a:p>
            </c:txPr>
            <c:showLegendKey val="0"/>
            <c:showVal val="1"/>
            <c:showCatName val="0"/>
            <c:showSerName val="0"/>
            <c:showPercent val="0"/>
            <c:showBubbleSize val="0"/>
          </c:dLbls>
          <c:cat>
            <c:strRef>
              <c:f>'Pivot Table'!$A$11:$A$14</c:f>
            </c:strRef>
          </c:cat>
          <c:val>
            <c:numRef>
              <c:f>'Pivot Table'!$B$11:$B$14</c:f>
              <c:numCache/>
            </c:numRef>
          </c:val>
        </c:ser>
        <c:overlap val="100"/>
        <c:axId val="1257028039"/>
        <c:axId val="944913271"/>
      </c:barChart>
      <c:catAx>
        <c:axId val="1257028039"/>
        <c:scaling>
          <c:orientation val="minMax"/>
        </c:scaling>
        <c:delete val="0"/>
        <c:axPos val="b"/>
        <c:title>
          <c:tx>
            <c:rich>
              <a:bodyPr/>
              <a:lstStyle/>
              <a:p>
                <a:pPr lvl="0">
                  <a:defRPr b="1" i="0" sz="900">
                    <a:solidFill>
                      <a:schemeClr val="lt1"/>
                    </a:solidFill>
                    <a:latin typeface="+mn-lt"/>
                  </a:defRPr>
                </a:pPr>
                <a:r>
                  <a:rPr b="1" i="0" sz="900">
                    <a:solidFill>
                      <a:schemeClr val="lt1"/>
                    </a:solidFill>
                    <a:latin typeface="+mn-lt"/>
                  </a:rPr>
                  <a:t>Region</a:t>
                </a:r>
              </a:p>
            </c:rich>
          </c:tx>
          <c:layout>
            <c:manualLayout>
              <c:xMode val="edge"/>
              <c:yMode val="edge"/>
              <c:x val="0.42242244499173287"/>
              <c:y val="0.9331559664256986"/>
            </c:manualLayout>
          </c:layout>
          <c:overlay val="0"/>
        </c:title>
        <c:numFmt formatCode="General" sourceLinked="1"/>
        <c:majorTickMark val="none"/>
        <c:minorTickMark val="none"/>
        <c:spPr/>
        <c:txPr>
          <a:bodyPr/>
          <a:lstStyle/>
          <a:p>
            <a:pPr lvl="0">
              <a:defRPr b="0" i="0" sz="900">
                <a:solidFill>
                  <a:schemeClr val="lt1"/>
                </a:solidFill>
                <a:latin typeface="+mn-lt"/>
              </a:defRPr>
            </a:pPr>
          </a:p>
        </c:txPr>
        <c:crossAx val="944913271"/>
      </c:catAx>
      <c:valAx>
        <c:axId val="944913271"/>
        <c:scaling>
          <c:orientation val="minMax"/>
        </c:scaling>
        <c:delete val="0"/>
        <c:axPos val="l"/>
        <c:title>
          <c:tx>
            <c:rich>
              <a:bodyPr/>
              <a:lstStyle/>
              <a:p>
                <a:pPr lvl="0">
                  <a:defRPr b="1" i="0" sz="900">
                    <a:solidFill>
                      <a:schemeClr val="lt1"/>
                    </a:solidFill>
                    <a:latin typeface="+mn-lt"/>
                  </a:defRPr>
                </a:pPr>
                <a:r>
                  <a:rPr b="1" i="0" sz="900">
                    <a:solidFill>
                      <a:schemeClr val="lt1"/>
                    </a:solidFill>
                    <a:latin typeface="+mn-lt"/>
                  </a:rPr>
                  <a:t>Sales</a:t>
                </a:r>
              </a:p>
            </c:rich>
          </c:tx>
          <c:layout>
            <c:manualLayout>
              <c:xMode val="edge"/>
              <c:yMode val="edge"/>
              <c:x val="0.02614763779527559"/>
              <c:y val="0.40918869815602554"/>
            </c:manualLayout>
          </c:layout>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7028039"/>
      </c:valAx>
    </c:plotArea>
    <c:plotVisOnly val="1"/>
  </c:chart>
  <c:spPr>
    <a:solidFill>
      <a:schemeClr val="dk1"/>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chemeClr val="lt1"/>
                </a:solidFill>
                <a:latin typeface="+mn-lt"/>
              </a:defRPr>
            </a:pPr>
            <a:r>
              <a:rPr b="1" i="0" sz="1600">
                <a:solidFill>
                  <a:schemeClr val="lt1"/>
                </a:solidFill>
                <a:latin typeface="+mn-lt"/>
              </a:rPr>
              <a:t>Monthly Sales</a:t>
            </a:r>
          </a:p>
        </c:rich>
      </c:tx>
      <c:overlay val="0"/>
    </c:title>
    <c:plotArea>
      <c:layout/>
      <c:lineChart>
        <c:varyColors val="0"/>
        <c:ser>
          <c:idx val="0"/>
          <c:order val="0"/>
          <c:tx>
            <c:v>Total</c:v>
          </c:tx>
          <c:spPr>
            <a:ln cmpd="sng" w="28575">
              <a:solidFill>
                <a:schemeClr val="accent1"/>
              </a:solidFill>
            </a:ln>
          </c:spPr>
          <c:marker>
            <c:symbol val="circle"/>
            <c:size val="6"/>
            <c:spPr>
              <a:solidFill>
                <a:schemeClr val="accent1"/>
              </a:solidFill>
              <a:ln cmpd="sng">
                <a:solidFill>
                  <a:schemeClr val="accent1"/>
                </a:solidFill>
              </a:ln>
            </c:spPr>
          </c:marker>
          <c:dPt>
            <c:idx val="0"/>
            <c:marker>
              <c:symbol val="circle"/>
              <c:size val="6"/>
              <c:spPr>
                <a:solidFill>
                  <a:schemeClr val="accent1"/>
                </a:solidFill>
                <a:ln cmpd="sng">
                  <a:solidFill>
                    <a:schemeClr val="accent1"/>
                  </a:solidFill>
                </a:ln>
              </c:spPr>
            </c:marker>
          </c:dPt>
          <c:dPt>
            <c:idx val="1"/>
            <c:marker>
              <c:symbol val="circle"/>
              <c:size val="6"/>
              <c:spPr>
                <a:solidFill>
                  <a:schemeClr val="accent1"/>
                </a:solidFill>
                <a:ln cmpd="sng">
                  <a:solidFill>
                    <a:schemeClr val="accent1"/>
                  </a:solidFill>
                </a:ln>
              </c:spPr>
            </c:marker>
          </c:dPt>
          <c:dPt>
            <c:idx val="2"/>
            <c:marker>
              <c:symbol val="circle"/>
              <c:size val="6"/>
              <c:spPr>
                <a:solidFill>
                  <a:schemeClr val="accent1"/>
                </a:solidFill>
                <a:ln cmpd="sng">
                  <a:solidFill>
                    <a:schemeClr val="accent1"/>
                  </a:solidFill>
                </a:ln>
              </c:spPr>
            </c:marker>
          </c:dPt>
          <c:dPt>
            <c:idx val="3"/>
            <c:marker>
              <c:symbol val="circle"/>
              <c:size val="6"/>
              <c:spPr>
                <a:solidFill>
                  <a:schemeClr val="accent1"/>
                </a:solidFill>
                <a:ln cmpd="sng">
                  <a:solidFill>
                    <a:schemeClr val="accent1"/>
                  </a:solidFill>
                </a:ln>
              </c:spPr>
            </c:marker>
          </c:dPt>
          <c:dLbls>
            <c:numFmt formatCode="General" sourceLinked="1"/>
            <c:txPr>
              <a:bodyPr/>
              <a:lstStyle/>
              <a:p>
                <a:pPr lvl="0">
                  <a:defRPr b="0" i="0" sz="900">
                    <a:solidFill>
                      <a:srgbClr val="FFFFFF"/>
                    </a:solidFill>
                    <a:latin typeface="+mn-lt"/>
                  </a:defRPr>
                </a:pPr>
              </a:p>
            </c:txPr>
            <c:showLegendKey val="0"/>
            <c:showVal val="1"/>
            <c:showCatName val="0"/>
            <c:showSerName val="0"/>
            <c:showPercent val="0"/>
            <c:showBubbleSize val="0"/>
          </c:dLbls>
          <c:cat>
            <c:strRef>
              <c:f>'Pivot Table'!$I$11:$I$17</c:f>
            </c:strRef>
          </c:cat>
          <c:val>
            <c:numRef>
              <c:f>'Pivot Table'!$J$11:$J$17</c:f>
              <c:numCache/>
            </c:numRef>
          </c:val>
          <c:smooth val="1"/>
        </c:ser>
        <c:axId val="1345930577"/>
        <c:axId val="1966239220"/>
      </c:lineChart>
      <c:catAx>
        <c:axId val="1345930577"/>
        <c:scaling>
          <c:orientation val="minMax"/>
        </c:scaling>
        <c:delete val="0"/>
        <c:axPos val="b"/>
        <c:title>
          <c:tx>
            <c:rich>
              <a:bodyPr/>
              <a:lstStyle/>
              <a:p>
                <a:pPr lvl="0">
                  <a:defRPr b="1" i="0" sz="900">
                    <a:solidFill>
                      <a:schemeClr val="lt1"/>
                    </a:solidFill>
                    <a:latin typeface="+mn-lt"/>
                  </a:defRPr>
                </a:pPr>
                <a:r>
                  <a:rPr b="1" i="0" sz="900">
                    <a:solidFill>
                      <a:schemeClr val="lt1"/>
                    </a:solidFill>
                    <a:latin typeface="+mn-lt"/>
                  </a:rPr>
                  <a:t>Month</a:t>
                </a:r>
              </a:p>
            </c:rich>
          </c:tx>
          <c:overlay val="0"/>
        </c:title>
        <c:numFmt formatCode="General" sourceLinked="1"/>
        <c:majorTickMark val="none"/>
        <c:minorTickMark val="none"/>
        <c:spPr/>
        <c:txPr>
          <a:bodyPr/>
          <a:lstStyle/>
          <a:p>
            <a:pPr lvl="0">
              <a:defRPr b="0" i="0" sz="900">
                <a:solidFill>
                  <a:schemeClr val="lt1"/>
                </a:solidFill>
                <a:latin typeface="+mn-lt"/>
              </a:defRPr>
            </a:pPr>
          </a:p>
        </c:txPr>
        <c:crossAx val="1966239220"/>
      </c:catAx>
      <c:valAx>
        <c:axId val="1966239220"/>
        <c:scaling>
          <c:orientation val="minMax"/>
        </c:scaling>
        <c:delete val="0"/>
        <c:axPos val="l"/>
        <c:title>
          <c:tx>
            <c:rich>
              <a:bodyPr/>
              <a:lstStyle/>
              <a:p>
                <a:pPr lvl="0">
                  <a:defRPr b="1" i="0" sz="900">
                    <a:solidFill>
                      <a:schemeClr val="lt1"/>
                    </a:solidFill>
                    <a:latin typeface="+mn-lt"/>
                  </a:defRPr>
                </a:pPr>
                <a:r>
                  <a:rPr b="1" i="0" sz="900">
                    <a:solidFill>
                      <a:schemeClr val="lt1"/>
                    </a:solidFill>
                    <a:latin typeface="+mn-lt"/>
                  </a:rPr>
                  <a:t>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5930577"/>
      </c:valAx>
    </c:plotArea>
    <c:plotVisOnly val="1"/>
  </c:chart>
  <c:spPr>
    <a:solidFill>
      <a:schemeClr val="dk1"/>
    </a:solidFill>
  </c:spPr>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847725</xdr:colOff>
      <xdr:row>2</xdr:row>
      <xdr:rowOff>38100</xdr:rowOff>
    </xdr:from>
    <xdr:ext cx="8010525" cy="3819525"/>
    <xdr:graphicFrame>
      <xdr:nvGraphicFramePr>
        <xdr:cNvPr id="514021212"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419100</xdr:colOff>
      <xdr:row>12</xdr:row>
      <xdr:rowOff>57150</xdr:rowOff>
    </xdr:from>
    <xdr:ext cx="2857500" cy="2857500"/>
    <mc:AlternateContent>
      <mc:Choice Requires="sle15">
        <xdr:graphicFrame>
          <xdr:nvGraphicFramePr>
            <xdr:cNvPr id="1" name="Product_1"/>
            <xdr:cNvGraphicFramePr/>
          </xdr:nvGraphicFramePr>
          <xdr:xfrm>
            <a:off x="0" y="0"/>
            <a:ext cx="0" cy="0"/>
          </xdr:xfrm>
          <a:graphic>
            <a:graphicData uri="http://schemas.microsoft.com/office/drawing/2010/slicer">
              <x3Unk:slicer name="Product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971550</xdr:colOff>
      <xdr:row>12</xdr:row>
      <xdr:rowOff>57150</xdr:rowOff>
    </xdr:from>
    <xdr:ext cx="2857500" cy="2857500"/>
    <mc:AlternateContent>
      <mc:Choice Requires="sle15">
        <xdr:graphicFrame>
          <xdr:nvGraphicFramePr>
            <xdr:cNvPr id="2" name="Row Labels_2"/>
            <xdr:cNvGraphicFramePr/>
          </xdr:nvGraphicFramePr>
          <xdr:xfrm>
            <a:off x="0" y="0"/>
            <a:ext cx="0" cy="0"/>
          </xdr:xfrm>
          <a:graphic>
            <a:graphicData uri="http://schemas.microsoft.com/office/drawing/2010/slicer">
              <x3Unk:slicer name="Row Labels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xdr:row>
      <xdr:rowOff>0</xdr:rowOff>
    </xdr:from>
    <xdr:ext cx="5562600" cy="4314825"/>
    <xdr:graphicFrame>
      <xdr:nvGraphicFramePr>
        <xdr:cNvPr id="1460066155"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514350</xdr:colOff>
      <xdr:row>2</xdr:row>
      <xdr:rowOff>0</xdr:rowOff>
    </xdr:from>
    <xdr:ext cx="5934075" cy="4314825"/>
    <xdr:graphicFrame>
      <xdr:nvGraphicFramePr>
        <xdr:cNvPr id="1117991604" name="Chart 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161925</xdr:colOff>
      <xdr:row>16</xdr:row>
      <xdr:rowOff>38100</xdr:rowOff>
    </xdr:from>
    <xdr:ext cx="2609850" cy="2857500"/>
    <mc:AlternateContent>
      <mc:Choice Requires="sle15">
        <xdr:graphicFrame>
          <xdr:nvGraphicFramePr>
            <xdr:cNvPr id="3" name="Row Labels_3"/>
            <xdr:cNvGraphicFramePr/>
          </xdr:nvGraphicFramePr>
          <xdr:xfrm>
            <a:off x="0" y="0"/>
            <a:ext cx="0" cy="0"/>
          </xdr:xfrm>
          <a:graphic>
            <a:graphicData uri="http://schemas.microsoft.com/office/drawing/2010/slicer">
              <x3Unk:slicer name="Row Labels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E22" sheet="Data"/>
  </cacheSource>
  <cacheFields>
    <cacheField name="Date" numFmtId="164">
      <sharedItems containsSemiMixedTypes="0" containsDate="1" containsString="0">
        <d v="2024-01-01T00:00:00Z"/>
        <d v="2024-01-10T12:37:53Z"/>
        <d v="2024-01-20T01:15:47Z"/>
        <d v="2024-01-29T13:53:41Z"/>
        <d v="2024-02-08T02:31:34Z"/>
        <d v="2024-02-17T15:09:28Z"/>
        <d v="2024-02-27T03:47:22Z"/>
        <d v="2024-03-07T16:25:15Z"/>
        <d v="2024-03-17T05:03:09Z"/>
        <d v="2024-03-26T17:41:03Z"/>
        <d v="2024-04-05T06:18:56Z"/>
        <d v="2024-04-14T18:56:50Z"/>
        <d v="2024-04-24T07:34:44Z"/>
        <d v="2024-05-03T20:12:37Z"/>
        <d v="2024-05-13T08:50:31Z"/>
        <d v="2024-05-22T21:28:25Z"/>
        <d v="2024-06-01T10:06:18Z"/>
        <d v="2024-06-10T22:44:12Z"/>
        <d v="2024-06-20T11:22:06Z"/>
        <d v="2024-06-30T00:00:00Z"/>
      </sharedItems>
    </cacheField>
    <cacheField name="Region" numFmtId="0">
      <sharedItems>
        <s v="West"/>
        <s v="South"/>
        <s v="East"/>
        <s v="North"/>
      </sharedItems>
    </cacheField>
    <cacheField name="Product" numFmtId="0">
      <sharedItems>
        <s v="Mangoes"/>
        <s v="Oranges"/>
        <s v="Apples"/>
      </sharedItems>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E22" sheet="Data"/>
  </cacheSource>
  <cacheFields>
    <cacheField name="Date" numFmtId="164">
      <sharedItems containsSemiMixedTypes="0" containsNonDate="0" containsDate="1" containsString="0" minDate="2024-01-01T00:00:00Z" maxDate="2024-07-01T00:00:00Z">
        <d v="2024-01-01T00:00:00Z"/>
        <d v="2024-01-10T12:37:53Z"/>
        <d v="2024-01-20T01:15:47Z"/>
        <d v="2024-01-29T13:53:41Z"/>
        <d v="2024-02-08T02:31:34Z"/>
        <d v="2024-02-17T15:09:28Z"/>
        <d v="2024-02-27T03:47:22Z"/>
        <d v="2024-03-07T16:25:15Z"/>
        <d v="2024-03-17T05:03:09Z"/>
        <d v="2024-03-26T17:41:03Z"/>
        <d v="2024-04-05T06:18:56Z"/>
        <d v="2024-04-14T18:56:50Z"/>
        <d v="2024-04-24T07:34:44Z"/>
        <d v="2024-05-03T20:12:37Z"/>
        <d v="2024-05-13T08:50:31Z"/>
        <d v="2024-05-22T21:28:25Z"/>
        <d v="2024-06-01T10:06:18Z"/>
        <d v="2024-06-10T22:44:12Z"/>
        <d v="2024-06-20T11:22:06Z"/>
        <d v="2024-06-30T00:00:00Z"/>
      </sharedItems>
      <fieldGroup base="0">
        <rangePr autoStart="0" autoEnd="0" groupBy="months" startDate="2024-01-01T00:00:00Z" endDate="2024-07-01T00:00:00Z"/>
        <groupItems>
          <s v="&lt;01/01/24"/>
          <s v="Jan"/>
          <s v="Feb"/>
          <s v="Mar"/>
          <s v="Apr"/>
          <s v="May"/>
          <s v="Jun"/>
          <s v="Jul"/>
          <s v="Aug"/>
          <s v="Sep"/>
          <s v="Oct"/>
          <s v="Nov"/>
          <s v="Dec"/>
          <s v="&gt;07/01/24"/>
        </groupItems>
      </fieldGroup>
    </cacheField>
    <cacheField name="Region" numFmtId="0">
      <sharedItems>
        <s v="West"/>
        <s v="South"/>
        <s v="East"/>
        <s v="North"/>
      </sharedItems>
    </cacheField>
    <cacheField name="Product" numFmtId="0">
      <sharedItems>
        <s v="Mangoes"/>
        <s v="Oranges"/>
        <s v="Apples"/>
      </sharedItems>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nditional Formatting" cacheId="0" dataCaption="" compact="0" compactData="0">
  <location ref="A3:B8"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Region" axis="axisRow" compact="0" outline="0" multipleItemSelectionAllowed="1" showAll="0" sortType="ascending">
      <items>
        <item x="2"/>
        <item x="3"/>
        <item x="1"/>
        <item x="0"/>
        <item t="default"/>
      </items>
    </pivotField>
    <pivotField name="Product" compact="0" outline="0" multipleItemSelectionAllowed="1" showAll="0">
      <items>
        <item x="0"/>
        <item x="1"/>
        <item x="2"/>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1"/>
  </rowFields>
  <dataFields>
    <dataField name="SUM of Sales" fld="3" baseField="0"/>
  </dataFields>
</pivotTableDefinition>
</file>

<file path=xl/pivotTables/pivotTable2.xml><?xml version="1.0" encoding="utf-8"?>
<pivotTableDefinition xmlns="http://schemas.openxmlformats.org/spreadsheetml/2006/main" name="Conditional Formatting 2" cacheId="0" dataCaption="" rowGrandTotals="0" compact="0" compactData="0">
  <location ref="A12:B16"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Region" axis="axisRow" compact="0" outline="0" multipleItemSelectionAllowed="1" showAll="0" sortType="ascending">
      <items>
        <item x="2"/>
        <item x="3"/>
        <item x="1"/>
        <item x="0"/>
        <item t="default"/>
      </items>
    </pivotField>
    <pivotField name="Product" compact="0" outline="0" multipleItemSelectionAllowed="1" showAll="0">
      <items>
        <item x="0"/>
        <item x="1"/>
        <item x="2"/>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1"/>
  </rowFields>
  <dataFields>
    <dataField name="SUM of Sales" fld="3" baseField="0"/>
  </dataFields>
</pivotTableDefinition>
</file>

<file path=xl/pivotTables/pivotTable3.xml><?xml version="1.0" encoding="utf-8"?>
<pivotTableDefinition xmlns="http://schemas.openxmlformats.org/spreadsheetml/2006/main" name="Sales Trend" cacheId="1" dataCaption="" rowGrandTotals="0" compact="0" compactData="0">
  <location ref="A4:B10" firstHeaderRow="0" firstDataRow="1" firstDataCol="0"/>
  <pivotFields>
    <pivotField name="Date" axis="axisRow" compact="0" numFmtId="164" outline="0" multipleItemSelectionAllowed="1" showAll="0" sortType="ascending">
      <items>
        <item x="0"/>
        <item x="1"/>
        <item x="2"/>
        <item x="3"/>
        <item x="4"/>
        <item x="5"/>
        <item x="6"/>
        <item x="7"/>
        <item x="8"/>
        <item x="9"/>
        <item x="10"/>
        <item x="11"/>
        <item x="12"/>
        <item x="13"/>
        <item t="default"/>
      </items>
    </pivotField>
    <pivotField name="Region" compact="0" outline="0" multipleItemSelectionAllowed="1" showAll="0">
      <items>
        <item x="0"/>
        <item x="1"/>
        <item x="2"/>
        <item x="3"/>
        <item t="default"/>
      </items>
    </pivotField>
    <pivotField name="Product" compact="0" outline="0" multipleItemSelectionAllowed="1" showAll="0">
      <items>
        <item x="0"/>
        <item x="1"/>
        <item x="2"/>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Sum of Sales" fld="3" baseField="0"/>
  </dataFields>
</pivotTableDefinition>
</file>

<file path=xl/pivotTables/pivotTable4.xml><?xml version="1.0" encoding="utf-8"?>
<pivotTableDefinition xmlns="http://schemas.openxmlformats.org/spreadsheetml/2006/main" name="Slicer" cacheId="0" dataCaption="" rowGrandTotals="0" compact="0" compactData="0">
  <location ref="A4:B7"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Region" compact="0" outline="0" multipleItemSelectionAllowed="1" showAll="0">
      <items>
        <item x="0"/>
        <item x="1"/>
        <item x="2"/>
        <item x="3"/>
        <item t="default"/>
      </items>
    </pivotField>
    <pivotField name="Product" axis="axisRow" compact="0" outline="0" multipleItemSelectionAllowed="1" showAll="0" sortType="ascending">
      <items>
        <item x="2"/>
        <item x="0"/>
        <item x="1"/>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2"/>
  </rowFields>
  <dataFields>
    <dataField name="SUM of Sales"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Product">
  <x14:extLst>
    <ext uri="{2F2917AC-EB37-4324-AD4E-5DD8C200BD13}">
      <x15:tableSlicerCache tableId="2"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Row Labels">
  <x14:extLst>
    <ext uri="{2F2917AC-EB37-4324-AD4E-5DD8C200BD13}">
      <x15:tableSlicerCache tableId="3"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_1" cache="SlicerCache_Table_2_Col_1" caption="Product"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ow Labels_2" cache="SlicerCache_Table_3_Col_1" caption="Row Labels"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ow Labels_3" cache="SlicerCache_Table_3_Col_1" caption="Row Labels" rowHeight="247650"/>
</x14:slicers>
</file>

<file path=xl/tables/table1.xml><?xml version="1.0" encoding="utf-8"?>
<table xmlns="http://schemas.openxmlformats.org/spreadsheetml/2006/main" ref="A2:E22" displayName="Table1" name="Table1" id="1">
  <tableColumns count="5">
    <tableColumn name="Date" id="1"/>
    <tableColumn name="Region" id="2"/>
    <tableColumn name="Product" id="3"/>
    <tableColumn name="Sales" id="4"/>
    <tableColumn name="Quantity" id="5"/>
  </tableColumns>
  <tableStyleInfo name="Data-style" showColumnStripes="0" showFirstColumn="1" showLastColumn="1" showRowStripes="1"/>
</table>
</file>

<file path=xl/tables/table2.xml><?xml version="1.0" encoding="utf-8"?>
<table xmlns="http://schemas.openxmlformats.org/spreadsheetml/2006/main" ref="A4:B7" displayName="Table_1" name="Table_1" id="2">
  <autoFilter ref="$A$4:$B$7"/>
  <tableColumns count="2">
    <tableColumn name="Product" id="1"/>
    <tableColumn name="SUM of Sales" id="2"/>
  </tableColumns>
  <tableStyleInfo showColumnStripes="0" showFirstColumn="0" showLastColumn="0" showRowStripes="0"/>
</table>
</file>

<file path=xl/tables/table3.xml><?xml version="1.0" encoding="utf-8"?>
<table xmlns="http://schemas.openxmlformats.org/spreadsheetml/2006/main" ref="D10:E13" displayName="Table_2" name="Table_2" id="3">
  <autoFilter ref="$D$10:$E$13"/>
  <tableColumns count="2">
    <tableColumn name="Row Labels" id="1"/>
    <tableColumn name="Sum of Sales" id="2"/>
  </tableColumns>
  <tableStyleInfo showColumnStripes="0" showFirstColumn="0" showLastColumn="0" showRowStripes="0"/>
</table>
</file>

<file path=xl/tables/table4.xml><?xml version="1.0" encoding="utf-8"?>
<table xmlns="http://schemas.openxmlformats.org/spreadsheetml/2006/main" ref="B4:G24" displayName="Table13" name="Table13" id="4">
  <tableColumns count="6">
    <tableColumn name="Date" id="1"/>
    <tableColumn name="Region" id="2"/>
    <tableColumn name="Product" id="3"/>
    <tableColumn name="Sales" id="4"/>
    <tableColumn name="Quantity" id="5"/>
    <tableColumn name="Category" id="6"/>
  </tableColumns>
  <tableStyleInfo name="Comparis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 Id="rId4" Type="http://schemas.openxmlformats.org/officeDocument/2006/relationships/table" Target="../tables/table2.xml"/><Relationship Id="rId5"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2" Type="http://schemas.microsoft.com/office/2007/relationships/slicer" Target="../slicers/slicer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13"/>
    <col customWidth="1" min="2" max="2" width="8.63"/>
    <col customWidth="1" min="3" max="3" width="9.5"/>
    <col customWidth="1" min="4" max="4" width="7.13"/>
    <col customWidth="1" min="5" max="5" width="10.25"/>
    <col customWidth="1" min="6" max="6" width="12.63"/>
  </cols>
  <sheetData>
    <row r="1" ht="15.75" customHeight="1"/>
    <row r="2" ht="15.75" customHeight="1">
      <c r="A2" s="1" t="s">
        <v>0</v>
      </c>
      <c r="B2" s="1" t="s">
        <v>1</v>
      </c>
      <c r="C2" s="1" t="s">
        <v>2</v>
      </c>
      <c r="D2" s="1" t="s">
        <v>3</v>
      </c>
      <c r="E2" s="1" t="s">
        <v>4</v>
      </c>
    </row>
    <row r="3" ht="15.75" customHeight="1">
      <c r="A3" s="2">
        <v>45292.0</v>
      </c>
      <c r="B3" s="3" t="s">
        <v>5</v>
      </c>
      <c r="C3" s="3" t="s">
        <v>6</v>
      </c>
      <c r="D3" s="4">
        <v>456.0</v>
      </c>
      <c r="E3" s="4">
        <v>93.0</v>
      </c>
    </row>
    <row r="4" ht="15.75" customHeight="1">
      <c r="A4" s="2">
        <v>45301.52631578947</v>
      </c>
      <c r="B4" s="3" t="s">
        <v>7</v>
      </c>
      <c r="C4" s="3" t="s">
        <v>8</v>
      </c>
      <c r="D4" s="4">
        <v>348.0</v>
      </c>
      <c r="E4" s="4">
        <v>56.0</v>
      </c>
    </row>
    <row r="5" ht="15.75" customHeight="1">
      <c r="A5" s="2">
        <v>45311.05263157895</v>
      </c>
      <c r="B5" s="3" t="s">
        <v>7</v>
      </c>
      <c r="C5" s="3" t="s">
        <v>6</v>
      </c>
      <c r="D5" s="4">
        <v>247.0</v>
      </c>
      <c r="E5" s="4">
        <v>76.0</v>
      </c>
      <c r="G5" s="5" t="s">
        <v>9</v>
      </c>
    </row>
    <row r="6" ht="15.75" customHeight="1">
      <c r="A6" s="2">
        <v>45320.57894736841</v>
      </c>
      <c r="B6" s="3" t="s">
        <v>5</v>
      </c>
      <c r="C6" s="3" t="s">
        <v>10</v>
      </c>
      <c r="D6" s="4">
        <v>230.0</v>
      </c>
      <c r="E6" s="4">
        <v>37.0</v>
      </c>
    </row>
    <row r="7" ht="15.75" customHeight="1">
      <c r="A7" s="2">
        <v>45330.10526315789</v>
      </c>
      <c r="B7" s="3" t="s">
        <v>5</v>
      </c>
      <c r="C7" s="3" t="s">
        <v>6</v>
      </c>
      <c r="D7" s="4">
        <v>281.0</v>
      </c>
      <c r="E7" s="4">
        <v>50.0</v>
      </c>
      <c r="G7" s="6" t="s">
        <v>11</v>
      </c>
    </row>
    <row r="8" ht="15.75" customHeight="1">
      <c r="A8" s="2">
        <v>45339.63157894736</v>
      </c>
      <c r="B8" s="3" t="s">
        <v>5</v>
      </c>
      <c r="C8" s="3" t="s">
        <v>8</v>
      </c>
      <c r="D8" s="4">
        <v>334.0</v>
      </c>
      <c r="E8" s="4">
        <v>52.0</v>
      </c>
    </row>
    <row r="9" ht="15.75" customHeight="1">
      <c r="A9" s="2">
        <v>45349.15789473684</v>
      </c>
      <c r="B9" s="3" t="s">
        <v>7</v>
      </c>
      <c r="C9" s="3" t="s">
        <v>10</v>
      </c>
      <c r="D9" s="4">
        <v>417.0</v>
      </c>
      <c r="E9" s="4">
        <v>29.0</v>
      </c>
    </row>
    <row r="10" ht="15.75" customHeight="1">
      <c r="A10" s="2">
        <v>45358.68421052631</v>
      </c>
      <c r="B10" s="3" t="s">
        <v>5</v>
      </c>
      <c r="C10" s="3" t="s">
        <v>10</v>
      </c>
      <c r="D10" s="4">
        <v>441.0</v>
      </c>
      <c r="E10" s="4">
        <v>44.0</v>
      </c>
    </row>
    <row r="11" ht="15.75" customHeight="1">
      <c r="A11" s="2">
        <v>45368.21052631579</v>
      </c>
      <c r="B11" s="3" t="s">
        <v>7</v>
      </c>
      <c r="C11" s="3" t="s">
        <v>6</v>
      </c>
      <c r="D11" s="4">
        <v>76.0</v>
      </c>
      <c r="E11" s="4">
        <v>63.0</v>
      </c>
    </row>
    <row r="12" ht="15.75" customHeight="1">
      <c r="A12" s="2">
        <v>45377.73684210525</v>
      </c>
      <c r="B12" s="3" t="s">
        <v>5</v>
      </c>
      <c r="C12" s="3" t="s">
        <v>8</v>
      </c>
      <c r="D12" s="4">
        <v>441.0</v>
      </c>
      <c r="E12" s="4">
        <v>79.0</v>
      </c>
    </row>
    <row r="13" ht="15.75" customHeight="1">
      <c r="A13" s="2">
        <v>45387.26315789473</v>
      </c>
      <c r="B13" s="3" t="s">
        <v>7</v>
      </c>
      <c r="C13" s="3" t="s">
        <v>6</v>
      </c>
      <c r="D13" s="4">
        <v>205.0</v>
      </c>
      <c r="E13" s="4">
        <v>23.0</v>
      </c>
    </row>
    <row r="14" ht="15.75" customHeight="1">
      <c r="A14" s="2">
        <v>45396.7894736842</v>
      </c>
      <c r="B14" s="3" t="s">
        <v>5</v>
      </c>
      <c r="C14" s="3" t="s">
        <v>8</v>
      </c>
      <c r="D14" s="4">
        <v>483.0</v>
      </c>
      <c r="E14" s="4">
        <v>97.0</v>
      </c>
    </row>
    <row r="15" ht="15.75" customHeight="1">
      <c r="A15" s="2">
        <v>45406.31578947368</v>
      </c>
      <c r="B15" s="3" t="s">
        <v>12</v>
      </c>
      <c r="C15" s="3" t="s">
        <v>6</v>
      </c>
      <c r="D15" s="4">
        <v>467.0</v>
      </c>
      <c r="E15" s="4">
        <v>97.0</v>
      </c>
    </row>
    <row r="16" ht="15.75" customHeight="1">
      <c r="A16" s="2">
        <v>45415.84210526315</v>
      </c>
      <c r="B16" s="3" t="s">
        <v>5</v>
      </c>
      <c r="C16" s="3" t="s">
        <v>6</v>
      </c>
      <c r="D16" s="4">
        <v>380.0</v>
      </c>
      <c r="E16" s="4">
        <v>92.0</v>
      </c>
    </row>
    <row r="17" ht="15.75" customHeight="1">
      <c r="A17" s="2">
        <v>45425.36842105263</v>
      </c>
      <c r="B17" s="3" t="s">
        <v>7</v>
      </c>
      <c r="C17" s="3" t="s">
        <v>8</v>
      </c>
      <c r="D17" s="4">
        <v>497.0</v>
      </c>
      <c r="E17" s="4">
        <v>71.0</v>
      </c>
    </row>
    <row r="18" ht="15.75" customHeight="1">
      <c r="A18" s="2">
        <v>45434.89473684209</v>
      </c>
      <c r="B18" s="3" t="s">
        <v>7</v>
      </c>
      <c r="C18" s="3" t="s">
        <v>6</v>
      </c>
      <c r="D18" s="4">
        <v>409.0</v>
      </c>
      <c r="E18" s="4">
        <v>81.0</v>
      </c>
    </row>
    <row r="19" ht="15.75" customHeight="1">
      <c r="A19" s="2">
        <v>45444.42105263157</v>
      </c>
      <c r="B19" s="3" t="s">
        <v>5</v>
      </c>
      <c r="C19" s="3" t="s">
        <v>8</v>
      </c>
      <c r="D19" s="4">
        <v>53.0</v>
      </c>
      <c r="E19" s="4">
        <v>45.0</v>
      </c>
    </row>
    <row r="20" ht="15.75" customHeight="1">
      <c r="A20" s="2">
        <v>45453.94736842104</v>
      </c>
      <c r="B20" s="3" t="s">
        <v>5</v>
      </c>
      <c r="C20" s="3" t="s">
        <v>10</v>
      </c>
      <c r="D20" s="4">
        <v>398.0</v>
      </c>
      <c r="E20" s="4">
        <v>33.0</v>
      </c>
    </row>
    <row r="21" ht="15.75" customHeight="1">
      <c r="A21" s="2">
        <v>45463.47368421052</v>
      </c>
      <c r="B21" s="3" t="s">
        <v>13</v>
      </c>
      <c r="C21" s="3" t="s">
        <v>8</v>
      </c>
      <c r="D21" s="4">
        <v>347.0</v>
      </c>
      <c r="E21" s="4">
        <v>35.0</v>
      </c>
    </row>
    <row r="22" ht="15.75" customHeight="1">
      <c r="A22" s="2">
        <v>45473.0</v>
      </c>
      <c r="B22" s="3" t="s">
        <v>7</v>
      </c>
      <c r="C22" s="3" t="s">
        <v>10</v>
      </c>
      <c r="D22" s="4">
        <v>319.0</v>
      </c>
      <c r="E22" s="4">
        <v>45.0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998BFAB9-4DD2-4A21-BDD2-147BBD403533}" filter="1" showAutoFilter="1">
      <autoFilter ref="$A$2:$E$22"/>
      <extLst>
        <ext uri="GoogleSheetsCustomDataVersion1">
          <go:sheetsCustomData xmlns:go="http://customooxmlschemas.google.com/" filterViewId="22502563"/>
        </ext>
      </extLst>
    </customSheetView>
  </customSheetViews>
  <mergeCells count="2">
    <mergeCell ref="G5:Q6"/>
    <mergeCell ref="G7:Q8"/>
  </mergeCells>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7" t="s">
        <v>14</v>
      </c>
    </row>
    <row r="2" ht="15.75" customHeight="1"/>
    <row r="3" ht="15.75" customHeight="1"/>
    <row r="4" ht="15.75" customHeight="1"/>
    <row r="5" ht="15.75" customHeight="1"/>
    <row r="6" ht="15.75" customHeight="1"/>
    <row r="7" ht="15.75" customHeight="1"/>
    <row r="8" ht="15.75" customHeight="1"/>
    <row r="9" ht="15.75" customHeight="1"/>
    <row r="10" ht="15.75" customHeight="1">
      <c r="A10" s="7" t="s">
        <v>17</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10:E10"/>
  </mergeCells>
  <conditionalFormatting sqref="B13:B16">
    <cfRule type="cellIs" dxfId="5" priority="1" operator="greaterThan">
      <formula>400</formula>
    </cfRule>
  </conditionalFormatting>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13"/>
    <col customWidth="1" min="2" max="2" width="11.25"/>
    <col customWidth="1" min="3" max="3" width="12.13"/>
    <col customWidth="1" min="4" max="4" width="9.63"/>
    <col customWidth="1" min="5" max="5" width="12.75"/>
    <col customWidth="1" min="6" max="6" width="12.63"/>
    <col customWidth="1" min="7" max="7" width="34.88"/>
  </cols>
  <sheetData>
    <row r="1" ht="15.75" customHeight="1">
      <c r="A1" s="7" t="s">
        <v>18</v>
      </c>
    </row>
    <row r="2" ht="15.75" customHeight="1">
      <c r="A2" s="7"/>
      <c r="B2" s="7"/>
      <c r="C2" s="7"/>
      <c r="D2" s="7"/>
      <c r="E2" s="7"/>
      <c r="F2" s="7"/>
      <c r="G2" s="7"/>
    </row>
    <row r="3" ht="15.75" customHeight="1">
      <c r="A3" s="10" t="s">
        <v>19</v>
      </c>
    </row>
    <row r="4" ht="15.75" customHeight="1"/>
    <row r="5" ht="15.75" customHeight="1">
      <c r="A5" s="7"/>
      <c r="B5" s="7"/>
      <c r="C5" s="7"/>
      <c r="D5" s="7"/>
      <c r="E5" s="7"/>
      <c r="F5" s="7"/>
      <c r="G5" s="7"/>
    </row>
    <row r="6" ht="15.75" customHeight="1">
      <c r="A6" s="11" t="s">
        <v>20</v>
      </c>
    </row>
    <row r="7" ht="15.75" customHeight="1"/>
    <row r="8" ht="15.75" customHeight="1">
      <c r="A8" s="12" t="s">
        <v>0</v>
      </c>
      <c r="B8" s="12" t="s">
        <v>1</v>
      </c>
      <c r="C8" s="12" t="s">
        <v>2</v>
      </c>
      <c r="D8" s="12" t="s">
        <v>3</v>
      </c>
      <c r="E8" s="12" t="s">
        <v>4</v>
      </c>
    </row>
    <row r="9" ht="15.75" customHeight="1">
      <c r="A9" s="13">
        <v>45444.42105263157</v>
      </c>
      <c r="B9" s="14" t="s">
        <v>5</v>
      </c>
      <c r="C9" s="14" t="s">
        <v>8</v>
      </c>
      <c r="D9" s="15">
        <v>53.0</v>
      </c>
      <c r="E9" s="15">
        <v>45.0</v>
      </c>
    </row>
    <row r="10" ht="15.75" customHeight="1">
      <c r="A10" s="13">
        <v>45368.21052631579</v>
      </c>
      <c r="B10" s="14" t="s">
        <v>7</v>
      </c>
      <c r="C10" s="14" t="s">
        <v>6</v>
      </c>
      <c r="D10" s="15">
        <v>76.0</v>
      </c>
      <c r="E10" s="15">
        <v>63.0</v>
      </c>
    </row>
    <row r="11" ht="15.75" customHeight="1">
      <c r="A11" s="13">
        <v>45387.26315789473</v>
      </c>
      <c r="B11" s="14" t="s">
        <v>7</v>
      </c>
      <c r="C11" s="14" t="s">
        <v>6</v>
      </c>
      <c r="D11" s="15">
        <v>205.0</v>
      </c>
      <c r="E11" s="15">
        <v>23.0</v>
      </c>
    </row>
    <row r="12" ht="15.75" customHeight="1">
      <c r="A12" s="13">
        <v>45320.57894736841</v>
      </c>
      <c r="B12" s="14" t="s">
        <v>5</v>
      </c>
      <c r="C12" s="14" t="s">
        <v>10</v>
      </c>
      <c r="D12" s="15">
        <v>230.0</v>
      </c>
      <c r="E12" s="15">
        <v>37.0</v>
      </c>
    </row>
    <row r="13" ht="15.75" customHeight="1">
      <c r="A13" s="13">
        <v>45311.05263157895</v>
      </c>
      <c r="B13" s="14" t="s">
        <v>7</v>
      </c>
      <c r="C13" s="14" t="s">
        <v>6</v>
      </c>
      <c r="D13" s="15">
        <v>247.0</v>
      </c>
      <c r="E13" s="15">
        <v>76.0</v>
      </c>
    </row>
    <row r="14" ht="15.75" customHeight="1">
      <c r="A14" s="13">
        <v>45330.10526315789</v>
      </c>
      <c r="B14" s="14" t="s">
        <v>5</v>
      </c>
      <c r="C14" s="14" t="s">
        <v>6</v>
      </c>
      <c r="D14" s="15">
        <v>281.0</v>
      </c>
      <c r="E14" s="15">
        <v>50.0</v>
      </c>
    </row>
    <row r="15" ht="15.75" customHeight="1">
      <c r="A15" s="13">
        <v>45473.0</v>
      </c>
      <c r="B15" s="14" t="s">
        <v>7</v>
      </c>
      <c r="C15" s="14" t="s">
        <v>10</v>
      </c>
      <c r="D15" s="15">
        <v>319.0</v>
      </c>
      <c r="E15" s="15">
        <v>45.0</v>
      </c>
    </row>
    <row r="16" ht="15.75" customHeight="1">
      <c r="A16" s="13">
        <v>45339.63157894736</v>
      </c>
      <c r="B16" s="14" t="s">
        <v>5</v>
      </c>
      <c r="C16" s="14" t="s">
        <v>8</v>
      </c>
      <c r="D16" s="15">
        <v>334.0</v>
      </c>
      <c r="E16" s="15">
        <v>52.0</v>
      </c>
    </row>
    <row r="17" ht="15.75" customHeight="1">
      <c r="A17" s="13">
        <v>45463.47368421052</v>
      </c>
      <c r="B17" s="14" t="s">
        <v>13</v>
      </c>
      <c r="C17" s="14" t="s">
        <v>8</v>
      </c>
      <c r="D17" s="15">
        <v>347.0</v>
      </c>
      <c r="E17" s="15">
        <v>35.0</v>
      </c>
      <c r="G17" s="16" t="s">
        <v>21</v>
      </c>
    </row>
    <row r="18" ht="15.75" customHeight="1">
      <c r="A18" s="13">
        <v>45301.52631578947</v>
      </c>
      <c r="B18" s="14" t="s">
        <v>7</v>
      </c>
      <c r="C18" s="14" t="s">
        <v>8</v>
      </c>
      <c r="D18" s="15">
        <v>348.0</v>
      </c>
      <c r="E18" s="15">
        <v>56.0</v>
      </c>
    </row>
    <row r="19" ht="15.75" customHeight="1">
      <c r="A19" s="13">
        <v>45415.84210526315</v>
      </c>
      <c r="B19" s="14" t="s">
        <v>5</v>
      </c>
      <c r="C19" s="14" t="s">
        <v>6</v>
      </c>
      <c r="D19" s="15">
        <v>380.0</v>
      </c>
      <c r="E19" s="15">
        <v>92.0</v>
      </c>
    </row>
    <row r="20" ht="15.75" customHeight="1">
      <c r="A20" s="13">
        <v>45453.94736842104</v>
      </c>
      <c r="B20" s="14" t="s">
        <v>5</v>
      </c>
      <c r="C20" s="14" t="s">
        <v>10</v>
      </c>
      <c r="D20" s="15">
        <v>398.0</v>
      </c>
      <c r="E20" s="15">
        <v>33.0</v>
      </c>
    </row>
    <row r="21" ht="15.75" customHeight="1">
      <c r="A21" s="13">
        <v>45434.89473684209</v>
      </c>
      <c r="B21" s="14" t="s">
        <v>7</v>
      </c>
      <c r="C21" s="14" t="s">
        <v>6</v>
      </c>
      <c r="D21" s="15">
        <v>409.0</v>
      </c>
      <c r="E21" s="15">
        <v>81.0</v>
      </c>
    </row>
    <row r="22" ht="15.75" customHeight="1">
      <c r="A22" s="13">
        <v>45349.15789473684</v>
      </c>
      <c r="B22" s="14" t="s">
        <v>7</v>
      </c>
      <c r="C22" s="14" t="s">
        <v>10</v>
      </c>
      <c r="D22" s="15">
        <v>417.0</v>
      </c>
      <c r="E22" s="15">
        <v>29.0</v>
      </c>
    </row>
    <row r="23" ht="15.75" customHeight="1">
      <c r="A23" s="13">
        <v>45358.68421052631</v>
      </c>
      <c r="B23" s="14" t="s">
        <v>5</v>
      </c>
      <c r="C23" s="14" t="s">
        <v>10</v>
      </c>
      <c r="D23" s="15">
        <v>441.0</v>
      </c>
      <c r="E23" s="15">
        <v>44.0</v>
      </c>
    </row>
    <row r="24" ht="15.75" customHeight="1">
      <c r="A24" s="13">
        <v>45377.73684210525</v>
      </c>
      <c r="B24" s="14" t="s">
        <v>5</v>
      </c>
      <c r="C24" s="14" t="s">
        <v>8</v>
      </c>
      <c r="D24" s="15">
        <v>441.0</v>
      </c>
      <c r="E24" s="15">
        <v>79.0</v>
      </c>
    </row>
    <row r="25" ht="15.75" customHeight="1">
      <c r="A25" s="13">
        <v>45292.0</v>
      </c>
      <c r="B25" s="14" t="s">
        <v>5</v>
      </c>
      <c r="C25" s="14" t="s">
        <v>6</v>
      </c>
      <c r="D25" s="15">
        <v>456.0</v>
      </c>
      <c r="E25" s="15">
        <v>93.0</v>
      </c>
    </row>
    <row r="26" ht="15.75" customHeight="1">
      <c r="A26" s="13">
        <v>45406.31578947368</v>
      </c>
      <c r="B26" s="14" t="s">
        <v>12</v>
      </c>
      <c r="C26" s="14" t="s">
        <v>6</v>
      </c>
      <c r="D26" s="15">
        <v>467.0</v>
      </c>
      <c r="E26" s="15">
        <v>97.0</v>
      </c>
    </row>
    <row r="27" ht="15.75" customHeight="1">
      <c r="A27" s="13">
        <v>45396.7894736842</v>
      </c>
      <c r="B27" s="14" t="s">
        <v>5</v>
      </c>
      <c r="C27" s="14" t="s">
        <v>8</v>
      </c>
      <c r="D27" s="15">
        <v>483.0</v>
      </c>
      <c r="E27" s="15">
        <v>97.0</v>
      </c>
    </row>
    <row r="28" ht="15.75" customHeight="1">
      <c r="A28" s="13">
        <v>45425.36842105263</v>
      </c>
      <c r="B28" s="14" t="s">
        <v>7</v>
      </c>
      <c r="C28" s="14" t="s">
        <v>8</v>
      </c>
      <c r="D28" s="15">
        <v>497.0</v>
      </c>
      <c r="E28" s="15">
        <v>71.0</v>
      </c>
    </row>
    <row r="29" ht="15.75" customHeight="1"/>
    <row r="30" ht="15.75" customHeight="1">
      <c r="A30" s="11" t="s">
        <v>22</v>
      </c>
    </row>
    <row r="31" ht="15.75" customHeight="1"/>
    <row r="32" ht="15.75" customHeight="1">
      <c r="A32" s="12" t="s">
        <v>0</v>
      </c>
      <c r="B32" s="12" t="s">
        <v>1</v>
      </c>
      <c r="C32" s="12" t="s">
        <v>2</v>
      </c>
      <c r="D32" s="12" t="s">
        <v>3</v>
      </c>
      <c r="E32" s="12" t="s">
        <v>4</v>
      </c>
    </row>
    <row r="33" ht="15.75" customHeight="1">
      <c r="A33" s="13">
        <v>45292.0</v>
      </c>
      <c r="B33" s="14" t="s">
        <v>5</v>
      </c>
      <c r="C33" s="14" t="s">
        <v>6</v>
      </c>
      <c r="D33" s="15">
        <v>456.0</v>
      </c>
      <c r="E33" s="15">
        <v>93.0</v>
      </c>
    </row>
    <row r="34" ht="15.75" hidden="1" customHeight="1">
      <c r="A34" s="13">
        <v>45301.52631578947</v>
      </c>
      <c r="B34" s="14" t="s">
        <v>7</v>
      </c>
      <c r="C34" s="14" t="s">
        <v>8</v>
      </c>
      <c r="D34" s="15">
        <v>348.0</v>
      </c>
      <c r="E34" s="15">
        <v>56.0</v>
      </c>
    </row>
    <row r="35" ht="15.75" hidden="1" customHeight="1">
      <c r="A35" s="13">
        <v>45311.05263157895</v>
      </c>
      <c r="B35" s="14" t="s">
        <v>7</v>
      </c>
      <c r="C35" s="14" t="s">
        <v>6</v>
      </c>
      <c r="D35" s="15">
        <v>247.0</v>
      </c>
      <c r="E35" s="15">
        <v>76.0</v>
      </c>
    </row>
    <row r="36" ht="15.75" customHeight="1">
      <c r="A36" s="13">
        <v>45320.57894736841</v>
      </c>
      <c r="B36" s="14" t="s">
        <v>5</v>
      </c>
      <c r="C36" s="14" t="s">
        <v>10</v>
      </c>
      <c r="D36" s="15">
        <v>230.0</v>
      </c>
      <c r="E36" s="15">
        <v>37.0</v>
      </c>
      <c r="G36" s="16" t="s">
        <v>23</v>
      </c>
    </row>
    <row r="37" ht="15.75" customHeight="1">
      <c r="A37" s="13">
        <v>45330.10526315789</v>
      </c>
      <c r="B37" s="14" t="s">
        <v>5</v>
      </c>
      <c r="C37" s="14" t="s">
        <v>6</v>
      </c>
      <c r="D37" s="15">
        <v>281.0</v>
      </c>
      <c r="E37" s="15">
        <v>50.0</v>
      </c>
    </row>
    <row r="38" ht="15.75" customHeight="1">
      <c r="A38" s="13">
        <v>45339.63157894736</v>
      </c>
      <c r="B38" s="14" t="s">
        <v>5</v>
      </c>
      <c r="C38" s="14" t="s">
        <v>8</v>
      </c>
      <c r="D38" s="15">
        <v>334.0</v>
      </c>
      <c r="E38" s="15">
        <v>52.0</v>
      </c>
    </row>
    <row r="39" ht="15.75" hidden="1" customHeight="1">
      <c r="A39" s="13">
        <v>45349.15789473684</v>
      </c>
      <c r="B39" s="14" t="s">
        <v>7</v>
      </c>
      <c r="C39" s="14" t="s">
        <v>10</v>
      </c>
      <c r="D39" s="15">
        <v>417.0</v>
      </c>
      <c r="E39" s="15">
        <v>29.0</v>
      </c>
    </row>
    <row r="40" ht="15.75" customHeight="1">
      <c r="A40" s="13">
        <v>45358.68421052631</v>
      </c>
      <c r="B40" s="14" t="s">
        <v>5</v>
      </c>
      <c r="C40" s="14" t="s">
        <v>10</v>
      </c>
      <c r="D40" s="15">
        <v>441.0</v>
      </c>
      <c r="E40" s="15">
        <v>44.0</v>
      </c>
    </row>
    <row r="41" ht="15.75" hidden="1" customHeight="1">
      <c r="A41" s="13">
        <v>45368.21052631579</v>
      </c>
      <c r="B41" s="14" t="s">
        <v>7</v>
      </c>
      <c r="C41" s="14" t="s">
        <v>6</v>
      </c>
      <c r="D41" s="15">
        <v>76.0</v>
      </c>
      <c r="E41" s="15">
        <v>63.0</v>
      </c>
    </row>
    <row r="42" ht="15.75" customHeight="1">
      <c r="A42" s="13">
        <v>45377.73684210525</v>
      </c>
      <c r="B42" s="14" t="s">
        <v>5</v>
      </c>
      <c r="C42" s="14" t="s">
        <v>8</v>
      </c>
      <c r="D42" s="15">
        <v>441.0</v>
      </c>
      <c r="E42" s="15">
        <v>79.0</v>
      </c>
    </row>
    <row r="43" ht="15.75" hidden="1" customHeight="1">
      <c r="A43" s="13">
        <v>45387.26315789473</v>
      </c>
      <c r="B43" s="14" t="s">
        <v>7</v>
      </c>
      <c r="C43" s="14" t="s">
        <v>6</v>
      </c>
      <c r="D43" s="15">
        <v>205.0</v>
      </c>
      <c r="E43" s="15">
        <v>23.0</v>
      </c>
    </row>
    <row r="44" ht="15.75" customHeight="1">
      <c r="A44" s="13">
        <v>45396.7894736842</v>
      </c>
      <c r="B44" s="14" t="s">
        <v>5</v>
      </c>
      <c r="C44" s="14" t="s">
        <v>8</v>
      </c>
      <c r="D44" s="15">
        <v>483.0</v>
      </c>
      <c r="E44" s="15">
        <v>97.0</v>
      </c>
    </row>
    <row r="45" ht="15.75" hidden="1" customHeight="1">
      <c r="A45" s="13">
        <v>45406.31578947368</v>
      </c>
      <c r="B45" s="14" t="s">
        <v>12</v>
      </c>
      <c r="C45" s="14" t="s">
        <v>6</v>
      </c>
      <c r="D45" s="15">
        <v>467.0</v>
      </c>
      <c r="E45" s="15">
        <v>97.0</v>
      </c>
    </row>
    <row r="46" ht="15.75" customHeight="1">
      <c r="A46" s="13">
        <v>45415.84210526315</v>
      </c>
      <c r="B46" s="14" t="s">
        <v>5</v>
      </c>
      <c r="C46" s="14" t="s">
        <v>6</v>
      </c>
      <c r="D46" s="15">
        <v>380.0</v>
      </c>
      <c r="E46" s="15">
        <v>92.0</v>
      </c>
    </row>
    <row r="47" ht="15.75" hidden="1" customHeight="1">
      <c r="A47" s="13">
        <v>45425.36842105263</v>
      </c>
      <c r="B47" s="14" t="s">
        <v>7</v>
      </c>
      <c r="C47" s="14" t="s">
        <v>8</v>
      </c>
      <c r="D47" s="15">
        <v>497.0</v>
      </c>
      <c r="E47" s="15">
        <v>71.0</v>
      </c>
    </row>
    <row r="48" ht="15.75" hidden="1" customHeight="1">
      <c r="A48" s="13">
        <v>45434.89473684209</v>
      </c>
      <c r="B48" s="14" t="s">
        <v>7</v>
      </c>
      <c r="C48" s="14" t="s">
        <v>6</v>
      </c>
      <c r="D48" s="15">
        <v>409.0</v>
      </c>
      <c r="E48" s="15">
        <v>81.0</v>
      </c>
    </row>
    <row r="49" ht="15.75" customHeight="1">
      <c r="A49" s="13">
        <v>45444.42105263157</v>
      </c>
      <c r="B49" s="14" t="s">
        <v>5</v>
      </c>
      <c r="C49" s="14" t="s">
        <v>8</v>
      </c>
      <c r="D49" s="15">
        <v>53.0</v>
      </c>
      <c r="E49" s="15">
        <v>45.0</v>
      </c>
    </row>
    <row r="50" ht="15.75" customHeight="1">
      <c r="A50" s="13">
        <v>45453.94736842104</v>
      </c>
      <c r="B50" s="14" t="s">
        <v>5</v>
      </c>
      <c r="C50" s="14" t="s">
        <v>10</v>
      </c>
      <c r="D50" s="15">
        <v>398.0</v>
      </c>
      <c r="E50" s="15">
        <v>33.0</v>
      </c>
    </row>
    <row r="51" ht="15.75" hidden="1" customHeight="1">
      <c r="A51" s="13">
        <v>45463.47368421052</v>
      </c>
      <c r="B51" s="14" t="s">
        <v>13</v>
      </c>
      <c r="C51" s="14" t="s">
        <v>8</v>
      </c>
      <c r="D51" s="15">
        <v>347.0</v>
      </c>
      <c r="E51" s="15">
        <v>35.0</v>
      </c>
    </row>
    <row r="52" ht="15.75" hidden="1" customHeight="1">
      <c r="A52" s="13">
        <v>45473.0</v>
      </c>
      <c r="B52" s="14" t="s">
        <v>7</v>
      </c>
      <c r="C52" s="14" t="s">
        <v>10</v>
      </c>
      <c r="D52" s="15">
        <v>319.0</v>
      </c>
      <c r="E52" s="15">
        <v>45.0</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2:$E$52">
    <filterColumn colId="1">
      <filters>
        <filter val="West"/>
      </filters>
    </filterColumn>
  </autoFilter>
  <mergeCells count="4">
    <mergeCell ref="A1:G1"/>
    <mergeCell ref="A3:K4"/>
    <mergeCell ref="G17:J17"/>
    <mergeCell ref="G36:I36"/>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0.5"/>
    <col customWidth="1" min="2" max="6" width="12.63"/>
  </cols>
  <sheetData>
    <row r="1" ht="15.75" customHeight="1"/>
    <row r="2" ht="15.75" customHeight="1">
      <c r="A2" s="7" t="s">
        <v>24</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3.88"/>
  </cols>
  <sheetData>
    <row r="1" ht="12.75" customHeight="1"/>
    <row r="2" ht="12.75" customHeight="1">
      <c r="A2" s="7" t="s">
        <v>33</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customSheetViews>
    <customSheetView guid="{5E6DD19B-C93C-4C81-8BCA-2D700E532059}" filter="1" showAutoFilter="1">
      <autoFilter ref="$A$4:$B$7"/>
      <extLst>
        <ext uri="GoogleSheetsCustomDataVersion1">
          <go:sheetsCustomData xmlns:go="http://customooxmlschemas.google.com/" filterViewId="596770545"/>
        </ext>
      </extLst>
    </customSheetView>
  </customSheetViews>
  <printOptions/>
  <pageMargins bottom="0.75" footer="0.0" header="0.0" left="0.7" right="0.7" top="0.75"/>
  <pageSetup orientation="landscape"/>
  <drawing r:id="rId2"/>
  <tableParts count="1">
    <tablePart r:id="rId4"/>
  </tableParts>
  <extLst>
    <ext uri="{3A4CF648-6AED-40f4-86FF-DC5316D8AED3}">
      <x14:slicerList>
        <x14:slicer r:id="rId5"/>
      </x14:slicerList>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5"/>
    <col customWidth="1" min="2" max="2" width="12.38"/>
    <col customWidth="1" min="3" max="3" width="8.63"/>
    <col customWidth="1" min="4" max="4" width="13.38"/>
    <col customWidth="1" min="5" max="5" width="12.38"/>
    <col customWidth="1" min="6" max="8" width="8.63"/>
    <col customWidth="1" min="9" max="9" width="13.38"/>
    <col customWidth="1" min="10" max="10" width="12.38"/>
    <col customWidth="1" min="11" max="26" width="8.63"/>
  </cols>
  <sheetData>
    <row r="1" ht="12.75" customHeight="1"/>
    <row r="2" ht="12.75" customHeight="1">
      <c r="A2" s="7" t="s">
        <v>34</v>
      </c>
    </row>
    <row r="3" ht="12.75" customHeight="1">
      <c r="A3" s="8"/>
    </row>
    <row r="4" ht="12.75" customHeight="1">
      <c r="A4" s="8" t="s">
        <v>35</v>
      </c>
    </row>
    <row r="5" ht="12.75" customHeight="1">
      <c r="A5" s="6"/>
    </row>
    <row r="6" ht="12.75" customHeight="1">
      <c r="A6" s="7" t="s">
        <v>36</v>
      </c>
    </row>
    <row r="7" ht="12.75" customHeight="1">
      <c r="A7" s="8"/>
    </row>
    <row r="8" ht="12.75" customHeight="1"/>
    <row r="9" ht="12.75" customHeight="1"/>
    <row r="10" ht="12.75" customHeight="1">
      <c r="A10" s="8" t="s">
        <v>37</v>
      </c>
      <c r="B10" s="9" t="s">
        <v>26</v>
      </c>
      <c r="D10" s="8" t="s">
        <v>37</v>
      </c>
      <c r="E10" s="9" t="s">
        <v>26</v>
      </c>
      <c r="I10" s="8" t="s">
        <v>37</v>
      </c>
      <c r="J10" s="9" t="s">
        <v>26</v>
      </c>
    </row>
    <row r="11" ht="12.75" customHeight="1">
      <c r="A11" s="20" t="s">
        <v>13</v>
      </c>
      <c r="B11" s="9">
        <v>347.0</v>
      </c>
      <c r="D11" s="20" t="s">
        <v>10</v>
      </c>
      <c r="E11" s="9">
        <v>1805.0</v>
      </c>
      <c r="I11" s="20" t="s">
        <v>27</v>
      </c>
      <c r="J11" s="9">
        <v>578.0</v>
      </c>
    </row>
    <row r="12" ht="12.75" customHeight="1">
      <c r="A12" s="20" t="s">
        <v>7</v>
      </c>
      <c r="B12" s="9">
        <v>1581.0</v>
      </c>
      <c r="D12" s="20" t="s">
        <v>8</v>
      </c>
      <c r="E12" s="9">
        <v>2503.0</v>
      </c>
      <c r="I12" s="20" t="s">
        <v>28</v>
      </c>
      <c r="J12" s="9">
        <v>751.0</v>
      </c>
    </row>
    <row r="13" ht="12.75" customHeight="1">
      <c r="A13" s="20" t="s">
        <v>5</v>
      </c>
      <c r="B13" s="9">
        <v>2380.0</v>
      </c>
      <c r="D13" s="20" t="s">
        <v>16</v>
      </c>
      <c r="E13" s="9">
        <v>4308.0</v>
      </c>
      <c r="I13" s="20" t="s">
        <v>29</v>
      </c>
      <c r="J13" s="9">
        <v>882.0</v>
      </c>
    </row>
    <row r="14" ht="12.75" customHeight="1">
      <c r="A14" s="20" t="s">
        <v>16</v>
      </c>
      <c r="B14" s="9">
        <v>4308.0</v>
      </c>
      <c r="I14" s="20" t="s">
        <v>30</v>
      </c>
      <c r="J14" s="9">
        <v>483.0</v>
      </c>
    </row>
    <row r="15" ht="12.75" customHeight="1">
      <c r="I15" s="20" t="s">
        <v>31</v>
      </c>
      <c r="J15" s="9">
        <v>497.0</v>
      </c>
    </row>
    <row r="16" ht="12.75" customHeight="1">
      <c r="I16" s="20" t="s">
        <v>32</v>
      </c>
      <c r="J16" s="9">
        <v>1117.0</v>
      </c>
    </row>
    <row r="17" ht="12.75" customHeight="1">
      <c r="I17" s="20" t="s">
        <v>16</v>
      </c>
      <c r="J17" s="9">
        <v>4308.0</v>
      </c>
    </row>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customSheetViews>
    <customSheetView guid="{5E6DD19B-C93C-4C81-8BCA-2D700E532059}" filter="1" showAutoFilter="1">
      <autoFilter ref="$D$10:$E$13"/>
      <extLst>
        <ext uri="GoogleSheetsCustomDataVersion1">
          <go:sheetsCustomData xmlns:go="http://customooxmlschemas.google.com/" filterViewId="267329466"/>
        </ext>
      </extLst>
    </customSheetView>
    <customSheetView guid="{5E6DD19B-C93C-4C81-8BCA-2D700E532059}" filter="1" showAutoFilter="1">
      <autoFilter ref="$D$10:$E$13"/>
      <extLst>
        <ext uri="GoogleSheetsCustomDataVersion1">
          <go:sheetsCustomData xmlns:go="http://customooxmlschemas.google.com/" filterViewId="47026757"/>
        </ext>
      </extLst>
    </customSheetView>
  </customSheetViews>
  <mergeCells count="1">
    <mergeCell ref="A6:K6"/>
  </mergeCells>
  <printOptions/>
  <pageMargins bottom="0.75" footer="0.0" header="0.0" left="0.7" right="0.7" top="0.75"/>
  <pageSetup orientation="landscape"/>
  <drawing r:id="rId1"/>
  <tableParts count="1">
    <tablePart r:id="rId3"/>
  </tableParts>
  <extLst>
    <ext uri="{3A4CF648-6AED-40f4-86FF-DC5316D8AED3}">
      <x14:slicerList>
        <x14:slicer r:id="rId4"/>
      </x14:slicerList>
    </ext>
  </extLst>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63"/>
    <col customWidth="1" min="2" max="2" width="13.38"/>
    <col customWidth="1" min="3" max="3" width="12.38"/>
    <col customWidth="1" min="4" max="26" width="8.63"/>
  </cols>
  <sheetData>
    <row r="1" ht="12.75" customHeight="1"/>
    <row r="2" ht="12.75" customHeight="1"/>
    <row r="3" ht="12.75" customHeight="1"/>
    <row r="4" ht="12.75" customHeight="1"/>
    <row r="5" ht="12.75" customHeight="1"/>
    <row r="6" ht="12.75" customHeight="1">
      <c r="B6" s="8" t="s">
        <v>37</v>
      </c>
      <c r="C6" s="9" t="s">
        <v>26</v>
      </c>
    </row>
    <row r="7" ht="12.75" customHeight="1">
      <c r="B7" s="20" t="s">
        <v>12</v>
      </c>
      <c r="C7" s="9">
        <v>467.0</v>
      </c>
    </row>
    <row r="8" ht="12.75" customHeight="1">
      <c r="B8" s="20" t="s">
        <v>13</v>
      </c>
      <c r="C8" s="9">
        <v>347.0</v>
      </c>
    </row>
    <row r="9" ht="12.75" customHeight="1">
      <c r="B9" s="20" t="s">
        <v>7</v>
      </c>
      <c r="C9" s="9">
        <v>2518.0</v>
      </c>
    </row>
    <row r="10" ht="12.75" customHeight="1">
      <c r="B10" s="20" t="s">
        <v>5</v>
      </c>
      <c r="C10" s="9">
        <v>3497.0</v>
      </c>
    </row>
    <row r="11" ht="12.75" customHeight="1">
      <c r="B11" s="20" t="s">
        <v>16</v>
      </c>
      <c r="C11" s="9">
        <v>6829.0</v>
      </c>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extLst>
    <ext uri="{3A4CF648-6AED-40f4-86FF-DC5316D8AED3}">
      <x14:slicerList>
        <x14:slicer r:id="rId2"/>
      </x14:slicerList>
    </ext>
  </extLst>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3.38"/>
    <col customWidth="1" min="3" max="3" width="15.63"/>
    <col customWidth="1" min="4" max="26" width="8.63"/>
  </cols>
  <sheetData>
    <row r="1" ht="12.75" customHeight="1"/>
    <row r="2" ht="12.75" customHeight="1">
      <c r="B2" s="7" t="s">
        <v>38</v>
      </c>
    </row>
    <row r="3" ht="12.75" customHeight="1"/>
    <row r="4" ht="12.75" customHeight="1">
      <c r="B4" s="8" t="s">
        <v>37</v>
      </c>
      <c r="C4" s="9" t="s">
        <v>39</v>
      </c>
    </row>
    <row r="5" ht="12.75" customHeight="1">
      <c r="B5" s="20" t="s">
        <v>27</v>
      </c>
      <c r="C5" s="9">
        <v>289.0</v>
      </c>
    </row>
    <row r="6" ht="12.75" customHeight="1">
      <c r="B6" s="20" t="s">
        <v>28</v>
      </c>
      <c r="C6" s="9">
        <v>375.5</v>
      </c>
    </row>
    <row r="7" ht="12.75" customHeight="1">
      <c r="B7" s="20" t="s">
        <v>29</v>
      </c>
      <c r="C7" s="9">
        <v>441.0</v>
      </c>
    </row>
    <row r="8" ht="12.75" customHeight="1">
      <c r="B8" s="20" t="s">
        <v>30</v>
      </c>
      <c r="C8" s="9">
        <v>483.0</v>
      </c>
    </row>
    <row r="9" ht="12.75" customHeight="1">
      <c r="B9" s="20" t="s">
        <v>31</v>
      </c>
      <c r="C9" s="9">
        <v>497.0</v>
      </c>
    </row>
    <row r="10" ht="12.75" customHeight="1">
      <c r="B10" s="20" t="s">
        <v>32</v>
      </c>
      <c r="C10" s="9">
        <v>279.25</v>
      </c>
    </row>
    <row r="11" ht="12.75" customHeight="1">
      <c r="B11" s="20" t="s">
        <v>16</v>
      </c>
      <c r="C11" s="9">
        <v>359.0</v>
      </c>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8.13"/>
    <col customWidth="1" min="3" max="3" width="11.25"/>
    <col customWidth="1" min="4" max="4" width="12.13"/>
    <col customWidth="1" min="5" max="5" width="9.63"/>
    <col customWidth="1" min="6" max="6" width="12.75"/>
    <col customWidth="1" min="7" max="7" width="13.0"/>
    <col customWidth="1" min="8" max="9" width="8.63"/>
    <col customWidth="1" min="10" max="10" width="13.75"/>
    <col customWidth="1" min="11" max="11" width="12.38"/>
    <col customWidth="1" min="12" max="12" width="9.38"/>
    <col customWidth="1" min="13" max="13" width="12.38"/>
    <col customWidth="1" min="14" max="14" width="15.25"/>
    <col customWidth="1" min="15" max="26" width="8.63"/>
  </cols>
  <sheetData>
    <row r="1" ht="12.75" customHeight="1"/>
    <row r="2" ht="12.75" customHeight="1">
      <c r="B2" s="7" t="s">
        <v>40</v>
      </c>
    </row>
    <row r="3" ht="12.75" customHeight="1"/>
    <row r="4" ht="12.75" customHeight="1">
      <c r="B4" s="1" t="s">
        <v>0</v>
      </c>
      <c r="C4" s="1" t="s">
        <v>1</v>
      </c>
      <c r="D4" s="1" t="s">
        <v>2</v>
      </c>
      <c r="E4" s="1" t="s">
        <v>3</v>
      </c>
      <c r="F4" s="1" t="s">
        <v>4</v>
      </c>
      <c r="G4" s="1" t="s">
        <v>41</v>
      </c>
    </row>
    <row r="5" ht="12.75" customHeight="1">
      <c r="B5" s="2">
        <v>45292.0</v>
      </c>
      <c r="C5" s="3" t="s">
        <v>5</v>
      </c>
      <c r="D5" s="3" t="s">
        <v>6</v>
      </c>
      <c r="E5" s="4">
        <v>456.0</v>
      </c>
      <c r="F5" s="4">
        <v>93.0</v>
      </c>
      <c r="G5" s="21" t="str">
        <f>IF(OR(Comparison!$D5="Apples", Comparison!$D5="Oranges"), "Fruits",Comparison!$D5)</f>
        <v>Mangoes</v>
      </c>
    </row>
    <row r="6" ht="12.75" customHeight="1">
      <c r="B6" s="2">
        <v>45301.52631578947</v>
      </c>
      <c r="C6" s="3" t="s">
        <v>7</v>
      </c>
      <c r="D6" s="3" t="s">
        <v>8</v>
      </c>
      <c r="E6" s="4">
        <v>348.0</v>
      </c>
      <c r="F6" s="4">
        <v>56.0</v>
      </c>
      <c r="G6" s="21" t="str">
        <f>IF(OR(Comparison!$D6="Apples", Comparison!$D6="Oranges"), "Fruits",Comparison!$D6)</f>
        <v>Fruits</v>
      </c>
      <c r="J6" s="8" t="s">
        <v>41</v>
      </c>
      <c r="K6" s="8" t="s">
        <v>42</v>
      </c>
      <c r="L6" s="8" t="s">
        <v>1</v>
      </c>
      <c r="M6" s="9" t="s">
        <v>26</v>
      </c>
      <c r="N6" s="9" t="s">
        <v>43</v>
      </c>
    </row>
    <row r="7" ht="12.75" customHeight="1">
      <c r="B7" s="2">
        <v>45311.05263157895</v>
      </c>
      <c r="C7" s="3" t="s">
        <v>7</v>
      </c>
      <c r="D7" s="3" t="s">
        <v>6</v>
      </c>
      <c r="E7" s="4">
        <v>247.0</v>
      </c>
      <c r="F7" s="4">
        <v>76.0</v>
      </c>
      <c r="G7" s="21" t="str">
        <f>IF(OR(Comparison!$D7="Apples", Comparison!$D7="Oranges"), "Fruits",Comparison!$D7)</f>
        <v>Mangoes</v>
      </c>
      <c r="J7" s="9" t="s">
        <v>44</v>
      </c>
      <c r="K7" s="9" t="s">
        <v>27</v>
      </c>
      <c r="M7" s="9">
        <v>578.0</v>
      </c>
      <c r="N7" s="9">
        <v>93.0</v>
      </c>
    </row>
    <row r="8" ht="12.75" customHeight="1">
      <c r="B8" s="2">
        <v>45320.57894736841</v>
      </c>
      <c r="C8" s="3" t="s">
        <v>5</v>
      </c>
      <c r="D8" s="3" t="s">
        <v>10</v>
      </c>
      <c r="E8" s="4">
        <v>230.0</v>
      </c>
      <c r="F8" s="4">
        <v>37.0</v>
      </c>
      <c r="G8" s="21" t="str">
        <f>IF(OR(Comparison!$D8="Apples", Comparison!$D8="Oranges"), "Fruits",Comparison!$D8)</f>
        <v>Fruits</v>
      </c>
      <c r="K8" s="9" t="s">
        <v>28</v>
      </c>
      <c r="M8" s="9">
        <v>751.0</v>
      </c>
      <c r="N8" s="9">
        <v>81.0</v>
      </c>
    </row>
    <row r="9" ht="12.75" customHeight="1">
      <c r="B9" s="2">
        <v>45330.10526315789</v>
      </c>
      <c r="C9" s="3" t="s">
        <v>5</v>
      </c>
      <c r="D9" s="3" t="s">
        <v>6</v>
      </c>
      <c r="E9" s="4">
        <v>281.0</v>
      </c>
      <c r="F9" s="4">
        <v>50.0</v>
      </c>
      <c r="G9" s="21" t="str">
        <f>IF(OR(Comparison!$D9="Apples", Comparison!$D9="Oranges"), "Fruits",Comparison!$D9)</f>
        <v>Mangoes</v>
      </c>
      <c r="K9" s="9" t="s">
        <v>29</v>
      </c>
      <c r="M9" s="9">
        <v>882.0</v>
      </c>
      <c r="N9" s="9">
        <v>123.0</v>
      </c>
    </row>
    <row r="10" ht="12.75" customHeight="1">
      <c r="B10" s="2">
        <v>45339.63157894736</v>
      </c>
      <c r="C10" s="3" t="s">
        <v>5</v>
      </c>
      <c r="D10" s="3" t="s">
        <v>8</v>
      </c>
      <c r="E10" s="4">
        <v>334.0</v>
      </c>
      <c r="F10" s="4">
        <v>52.0</v>
      </c>
      <c r="G10" s="21" t="str">
        <f>IF(OR(Comparison!$D10="Apples", Comparison!$D10="Oranges"), "Fruits",Comparison!$D10)</f>
        <v>Fruits</v>
      </c>
      <c r="K10" s="9" t="s">
        <v>30</v>
      </c>
      <c r="M10" s="9">
        <v>483.0</v>
      </c>
      <c r="N10" s="9">
        <v>97.0</v>
      </c>
    </row>
    <row r="11" ht="12.75" customHeight="1">
      <c r="B11" s="2">
        <v>45349.15789473684</v>
      </c>
      <c r="C11" s="3" t="s">
        <v>7</v>
      </c>
      <c r="D11" s="3" t="s">
        <v>10</v>
      </c>
      <c r="E11" s="4">
        <v>417.0</v>
      </c>
      <c r="F11" s="4">
        <v>29.0</v>
      </c>
      <c r="G11" s="21" t="str">
        <f>IF(OR(Comparison!$D11="Apples", Comparison!$D11="Oranges"), "Fruits",Comparison!$D11)</f>
        <v>Fruits</v>
      </c>
      <c r="K11" s="9" t="s">
        <v>31</v>
      </c>
      <c r="M11" s="9">
        <v>497.0</v>
      </c>
      <c r="N11" s="9">
        <v>71.0</v>
      </c>
    </row>
    <row r="12" ht="12.75" customHeight="1">
      <c r="B12" s="2">
        <v>45358.68421052631</v>
      </c>
      <c r="C12" s="3" t="s">
        <v>5</v>
      </c>
      <c r="D12" s="3" t="s">
        <v>10</v>
      </c>
      <c r="E12" s="4">
        <v>441.0</v>
      </c>
      <c r="F12" s="4">
        <v>44.0</v>
      </c>
      <c r="G12" s="21" t="str">
        <f>IF(OR(Comparison!$D12="Apples", Comparison!$D12="Oranges"), "Fruits",Comparison!$D12)</f>
        <v>Fruits</v>
      </c>
      <c r="K12" s="9" t="s">
        <v>32</v>
      </c>
      <c r="M12" s="9">
        <v>1117.0</v>
      </c>
      <c r="N12" s="9">
        <v>158.0</v>
      </c>
    </row>
    <row r="13" ht="12.75" customHeight="1">
      <c r="B13" s="2">
        <v>45368.21052631579</v>
      </c>
      <c r="C13" s="3" t="s">
        <v>7</v>
      </c>
      <c r="D13" s="3" t="s">
        <v>6</v>
      </c>
      <c r="E13" s="4">
        <v>76.0</v>
      </c>
      <c r="F13" s="4">
        <v>63.0</v>
      </c>
      <c r="G13" s="21" t="str">
        <f>IF(OR(Comparison!$D13="Apples", Comparison!$D13="Oranges"), "Fruits",Comparison!$D13)</f>
        <v>Mangoes</v>
      </c>
      <c r="J13" s="9" t="s">
        <v>45</v>
      </c>
      <c r="M13" s="9">
        <v>4308.0</v>
      </c>
      <c r="N13" s="9">
        <v>623.0</v>
      </c>
    </row>
    <row r="14" ht="12.75" customHeight="1">
      <c r="B14" s="2">
        <v>45377.73684210525</v>
      </c>
      <c r="C14" s="3" t="s">
        <v>5</v>
      </c>
      <c r="D14" s="3" t="s">
        <v>8</v>
      </c>
      <c r="E14" s="4">
        <v>441.0</v>
      </c>
      <c r="F14" s="4">
        <v>79.0</v>
      </c>
      <c r="G14" s="21" t="str">
        <f>IF(OR(Comparison!$D14="Apples", Comparison!$D14="Oranges"), "Fruits",Comparison!$D14)</f>
        <v>Fruits</v>
      </c>
      <c r="J14" s="9" t="s">
        <v>6</v>
      </c>
      <c r="K14" s="9" t="s">
        <v>27</v>
      </c>
      <c r="M14" s="9">
        <v>703.0</v>
      </c>
      <c r="N14" s="9">
        <v>169.0</v>
      </c>
    </row>
    <row r="15" ht="12.75" customHeight="1">
      <c r="B15" s="2">
        <v>45387.26315789473</v>
      </c>
      <c r="C15" s="3" t="s">
        <v>7</v>
      </c>
      <c r="D15" s="3" t="s">
        <v>6</v>
      </c>
      <c r="E15" s="4">
        <v>205.0</v>
      </c>
      <c r="F15" s="4">
        <v>23.0</v>
      </c>
      <c r="G15" s="21" t="str">
        <f>IF(OR(Comparison!$D15="Apples", Comparison!$D15="Oranges"), "Fruits",Comparison!$D15)</f>
        <v>Mangoes</v>
      </c>
      <c r="K15" s="9" t="s">
        <v>28</v>
      </c>
      <c r="M15" s="9">
        <v>281.0</v>
      </c>
      <c r="N15" s="9">
        <v>50.0</v>
      </c>
    </row>
    <row r="16" ht="12.75" customHeight="1">
      <c r="B16" s="2">
        <v>45396.7894736842</v>
      </c>
      <c r="C16" s="3" t="s">
        <v>5</v>
      </c>
      <c r="D16" s="3" t="s">
        <v>8</v>
      </c>
      <c r="E16" s="4">
        <v>483.0</v>
      </c>
      <c r="F16" s="4">
        <v>97.0</v>
      </c>
      <c r="G16" s="21" t="str">
        <f>IF(OR(Comparison!$D16="Apples", Comparison!$D16="Oranges"), "Fruits",Comparison!$D16)</f>
        <v>Fruits</v>
      </c>
      <c r="K16" s="9" t="s">
        <v>29</v>
      </c>
      <c r="M16" s="9">
        <v>76.0</v>
      </c>
      <c r="N16" s="9">
        <v>63.0</v>
      </c>
    </row>
    <row r="17" ht="12.75" customHeight="1">
      <c r="B17" s="2">
        <v>45406.31578947368</v>
      </c>
      <c r="C17" s="3" t="s">
        <v>12</v>
      </c>
      <c r="D17" s="3" t="s">
        <v>6</v>
      </c>
      <c r="E17" s="4">
        <v>467.0</v>
      </c>
      <c r="F17" s="4">
        <v>97.0</v>
      </c>
      <c r="G17" s="21" t="str">
        <f>IF(OR(Comparison!$D17="Apples", Comparison!$D17="Oranges"), "Fruits",Comparison!$D17)</f>
        <v>Mangoes</v>
      </c>
      <c r="K17" s="9" t="s">
        <v>30</v>
      </c>
      <c r="M17" s="9">
        <v>672.0</v>
      </c>
      <c r="N17" s="9">
        <v>120.0</v>
      </c>
    </row>
    <row r="18" ht="12.75" customHeight="1">
      <c r="B18" s="2">
        <v>45415.84210526315</v>
      </c>
      <c r="C18" s="3" t="s">
        <v>5</v>
      </c>
      <c r="D18" s="3" t="s">
        <v>6</v>
      </c>
      <c r="E18" s="4">
        <v>380.0</v>
      </c>
      <c r="F18" s="4">
        <v>92.0</v>
      </c>
      <c r="G18" s="21" t="str">
        <f>IF(OR(Comparison!$D18="Apples", Comparison!$D18="Oranges"), "Fruits",Comparison!$D18)</f>
        <v>Mangoes</v>
      </c>
      <c r="K18" s="9" t="s">
        <v>31</v>
      </c>
      <c r="M18" s="9">
        <v>789.0</v>
      </c>
      <c r="N18" s="9">
        <v>173.0</v>
      </c>
    </row>
    <row r="19" ht="12.75" customHeight="1">
      <c r="B19" s="2">
        <v>45425.36842105263</v>
      </c>
      <c r="C19" s="3" t="s">
        <v>7</v>
      </c>
      <c r="D19" s="3" t="s">
        <v>8</v>
      </c>
      <c r="E19" s="4">
        <v>497.0</v>
      </c>
      <c r="F19" s="4">
        <v>71.0</v>
      </c>
      <c r="G19" s="21" t="str">
        <f>IF(OR(Comparison!$D19="Apples", Comparison!$D19="Oranges"), "Fruits",Comparison!$D19)</f>
        <v>Fruits</v>
      </c>
      <c r="J19" s="9" t="s">
        <v>46</v>
      </c>
      <c r="M19" s="9">
        <v>2521.0</v>
      </c>
      <c r="N19" s="9">
        <v>575.0</v>
      </c>
    </row>
    <row r="20" ht="12.75" customHeight="1">
      <c r="B20" s="2">
        <v>45434.89473684209</v>
      </c>
      <c r="C20" s="3" t="s">
        <v>7</v>
      </c>
      <c r="D20" s="3" t="s">
        <v>6</v>
      </c>
      <c r="E20" s="4">
        <v>409.0</v>
      </c>
      <c r="F20" s="4">
        <v>81.0</v>
      </c>
      <c r="G20" s="21" t="str">
        <f>IF(OR(Comparison!$D20="Apples", Comparison!$D20="Oranges"), "Fruits",Comparison!$D20)</f>
        <v>Mangoes</v>
      </c>
    </row>
    <row r="21" ht="12.75" customHeight="1">
      <c r="B21" s="2">
        <v>45444.42105263157</v>
      </c>
      <c r="C21" s="3" t="s">
        <v>5</v>
      </c>
      <c r="D21" s="3" t="s">
        <v>8</v>
      </c>
      <c r="E21" s="4">
        <v>53.0</v>
      </c>
      <c r="F21" s="4">
        <v>45.0</v>
      </c>
      <c r="G21" s="21" t="str">
        <f>IF(OR(Comparison!$D21="Apples", Comparison!$D21="Oranges"), "Fruits",Comparison!$D21)</f>
        <v>Fruits</v>
      </c>
    </row>
    <row r="22" ht="12.75" customHeight="1">
      <c r="B22" s="2">
        <v>45453.94736842104</v>
      </c>
      <c r="C22" s="3" t="s">
        <v>5</v>
      </c>
      <c r="D22" s="3" t="s">
        <v>10</v>
      </c>
      <c r="E22" s="4">
        <v>398.0</v>
      </c>
      <c r="F22" s="4">
        <v>33.0</v>
      </c>
      <c r="G22" s="21" t="str">
        <f>IF(OR(Comparison!$D22="Apples", Comparison!$D22="Oranges"), "Fruits",Comparison!$D22)</f>
        <v>Fruits</v>
      </c>
    </row>
    <row r="23" ht="12.75" customHeight="1">
      <c r="B23" s="2">
        <v>45463.47368421052</v>
      </c>
      <c r="C23" s="3" t="s">
        <v>13</v>
      </c>
      <c r="D23" s="3" t="s">
        <v>8</v>
      </c>
      <c r="E23" s="4">
        <v>347.0</v>
      </c>
      <c r="F23" s="4">
        <v>35.0</v>
      </c>
      <c r="G23" s="21" t="str">
        <f>IF(OR(Comparison!$D23="Apples", Comparison!$D23="Oranges"), "Fruits",Comparison!$D23)</f>
        <v>Fruits</v>
      </c>
    </row>
    <row r="24" ht="12.75" customHeight="1">
      <c r="B24" s="2">
        <v>45473.0</v>
      </c>
      <c r="C24" s="3" t="s">
        <v>7</v>
      </c>
      <c r="D24" s="3" t="s">
        <v>10</v>
      </c>
      <c r="E24" s="4">
        <v>319.0</v>
      </c>
      <c r="F24" s="4">
        <v>45.0</v>
      </c>
      <c r="G24" s="21" t="str">
        <f>IF(OR(Comparison!$D24="Apples", Comparison!$D24="Oranges"), "Fruits",Comparison!$D24)</f>
        <v>Fruits</v>
      </c>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customSheetViews>
    <customSheetView guid="{6850AC0C-F435-47B6-AAF6-2ACCF1F1FF59}" filter="1" showAutoFilter="1">
      <autoFilter ref="$B$4:$G$24"/>
      <extLst>
        <ext uri="GoogleSheetsCustomDataVersion1">
          <go:sheetsCustomData xmlns:go="http://customooxmlschemas.google.com/" filterViewId="761852999"/>
        </ext>
      </extLst>
    </customSheetView>
  </customSheetView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2025-12-09T09:25:26Z</dcterms:created>
  <dc:creator>bhawna choudhary</dc:creator>
</cp:coreProperties>
</file>